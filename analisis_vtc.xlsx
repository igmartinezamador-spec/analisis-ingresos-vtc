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Resumen" sheetId="2" state="visible" r:id="rId2"/>
    <sheet name="Escenarios" sheetId="3" state="visible" r:id="rId3"/>
    <sheet name="TD_DiaSemana" sheetId="4" state="visible" r:id="rId4"/>
    <sheet name="TD_Franjas" sheetId="5" state="visible" r:id="rId5"/>
    <sheet name="TD_Producto" sheetId="6" state="visible" r:id="rId6"/>
    <sheet name="TD_Mes_Pago" sheetId="7" state="visible" r:id="rId7"/>
    <sheet name="Viajes" sheetId="8" state="visible" r:id="rId8"/>
    <sheet name="Jornadas" sheetId="9" state="visible" r:id="rId9"/>
  </sheets>
  <definedNames/>
  <calcPr calcId="124519" fullCalcOnLoad="1"/>
  <pivotCaches>
    <pivotCache cacheId="1" r:id="rIdPC1"/>
  </pivotCaches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/yyyy"/>
    <numFmt numFmtId="166" formatCode="#,##0.00 &quot;€&quot;;-#,##0.00 &quot;€&quot;;&quot;-&quot;"/>
    <numFmt numFmtId="167" formatCode="0.0"/>
    <numFmt numFmtId="168" formatCode="0.0%;-0.0%;&quot;-&quot;"/>
    <numFmt numFmtId="169" formatCode="#,##0 &quot;€&quot;"/>
  </numFmts>
  <fonts count="10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i val="1"/>
      <color rgb="00595959"/>
    </font>
    <font>
      <name val="Arial"/>
      <b val="1"/>
      <sz val="14"/>
    </font>
    <font>
      <name val="Arial"/>
      <color rgb="00595959"/>
    </font>
    <font>
      <name val="Arial"/>
      <b val="1"/>
      <sz val="12"/>
    </font>
    <font>
      <name val="Arial"/>
      <color rgb="000000FF"/>
    </font>
    <font>
      <name val="Arial"/>
      <b val="1"/>
      <color rgb="000000FF"/>
    </font>
    <font>
      <name val="Arial"/>
      <i val="1"/>
    </font>
  </fonts>
  <fills count="5">
    <fill>
      <patternFill/>
    </fill>
    <fill>
      <patternFill patternType="gray125"/>
    </fill>
    <fill>
      <patternFill patternType="solid">
        <fgColor rgb="00DCE6F2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1" fontId="1" fillId="0" borderId="1" pivotButton="0" quotePrefix="0" xfId="0"/>
    <xf numFmtId="0" fontId="5" fillId="0" borderId="1" pivotButton="0" quotePrefix="0" xfId="0"/>
    <xf numFmtId="166" fontId="1" fillId="0" borderId="1" pivotButton="0" quotePrefix="0" xfId="0"/>
    <xf numFmtId="167" fontId="1" fillId="0" borderId="1" pivotButton="0" quotePrefix="0" xfId="0"/>
    <xf numFmtId="168" fontId="1" fillId="0" borderId="1" pivotButton="0" quotePrefix="0" xfId="0"/>
    <xf numFmtId="1" fontId="2" fillId="0" borderId="1" pivotButton="0" quotePrefix="0" xfId="0"/>
    <xf numFmtId="166" fontId="2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0" fontId="1" fillId="2" borderId="0" pivotButton="0" quotePrefix="0" xfId="0"/>
    <xf numFmtId="166" fontId="1" fillId="0" borderId="0" pivotButton="0" quotePrefix="0" xfId="0"/>
    <xf numFmtId="0" fontId="5" fillId="0" borderId="0" pivotButton="0" quotePrefix="0" xfId="0"/>
    <xf numFmtId="2" fontId="1" fillId="0" borderId="0" pivotButton="0" quotePrefix="0" xfId="0"/>
    <xf numFmtId="167" fontId="1" fillId="0" borderId="0" pivotButton="0" quotePrefix="0" xfId="0"/>
    <xf numFmtId="9" fontId="8" fillId="3" borderId="0" pivotButton="0" quotePrefix="0" xfId="0"/>
    <xf numFmtId="166" fontId="8" fillId="3" borderId="0" pivotButton="0" quotePrefix="0" xfId="0"/>
    <xf numFmtId="166" fontId="6" fillId="0" borderId="0" pivotButton="0" quotePrefix="0" xfId="0"/>
    <xf numFmtId="0" fontId="1" fillId="0" borderId="0" pivotButton="0" quotePrefix="0" xfId="0"/>
    <xf numFmtId="169" fontId="8" fillId="4" borderId="0" pivotButton="0" quotePrefix="0" xfId="0"/>
    <xf numFmtId="9" fontId="8" fillId="4" borderId="0" pivotButton="0" quotePrefix="0" xfId="0"/>
    <xf numFmtId="166" fontId="2" fillId="0" borderId="0" pivotButton="0" quotePrefix="0" xfId="0"/>
    <xf numFmtId="165" fontId="2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Relationship Id="rIdPC1" Type="http://schemas.openxmlformats.org/officeDocument/2006/relationships/pivotCacheDefinition" Target="pivotCache/pivotCacheDefinition1.xml"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Por día de la semana no hay un ganador claro (4–6 días cada uno)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'Resumen'!$A$19:$A$23</f>
            </numRef>
          </cat>
          <val>
            <numRef>
              <f>'Resumen'!$D$19:$D$23</f>
            </numRef>
          </val>
        </ser>
        <dLbls>
          <numFmt formatCode="#,##0 &quot;€&quot;"/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€ medios por día</a:t>
                </a:r>
              </a:p>
            </rich>
          </tx>
        </title>
        <numFmt formatCode="#,##0 &quot;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Las 8:00 son la hora que más rinde; las 12:00 apenas aportan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'Resumen'!$A$28:$A$34</f>
            </numRef>
          </cat>
          <val>
            <numRef>
              <f>'Resumen'!$E$28:$E$34</f>
            </numRef>
          </val>
        </ser>
        <dLbls>
          <numFmt formatCode="#,##0 &quot;€&quot;"/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€ por hora trabajada</a:t>
                </a:r>
              </a:p>
            </rich>
          </tx>
        </title>
        <numFmt formatCode="#,##0 &quot;€&quot;" sourceLinked="0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Un viaje de aeropuerto vale ~50 % más que uno normal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'Resumen'!$A$39:$A$43</f>
            </numRef>
          </cat>
          <val>
            <numRef>
              <f>'Resumen'!$D$39:$D$43</f>
            </numRef>
          </val>
        </ser>
        <dLbls>
          <numFmt formatCode="#,##0.00 &quot;€&quot;"/>
          <showVal val="1"/>
        </dLbls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€ medio por viaje (sin los de 0 €)</a:t>
                </a:r>
              </a:p>
            </rich>
          </tx>
        </title>
        <numFmt formatCode="#,##0.00 &quot;€&quot;" sourceLinked="0"/>
        <majorTickMark val="none"/>
        <minorTickMark val="none"/>
        <crossAx val="10"/>
      </valAx>
    </plotArea>
    <plotVisOnly val="1"/>
    <dispBlanksAs val="gap"/>
  </chart>
</chartSpace>
</file>

<file path=xl/comments/comment1.xml><?xml version="1.0" encoding="utf-8"?>
<comments xmlns="http://schemas.openxmlformats.org/spreadsheetml/2006/main">
  <authors>
    <author>Proyecto VTC</author>
  </authors>
  <commentList>
    <comment ref="E27" authorId="0" shapeId="0">
      <text>
        <t>Fuente: datos/limpios/metricas_clave.json (02_analisis.ipynb, Pregunta 2).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1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20</row>
      <rowOff>0</rowOff>
    </from>
    <ext cx="61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37</row>
      <rowOff>0</rowOff>
    </from>
    <ext cx="61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createdVersion="6" refreshedVersion="6" minRefreshableVersion="3" recordCount="212">
  <cacheSource type="worksheet">
    <worksheetSource ref="A1:P213" sheet="Viajes"/>
  </cacheSource>
  <cacheFields count="16">
    <cacheField name="id_viaje" numFmtId="0">
      <sharedItems/>
    </cacheField>
    <cacheField name="fecha" numFmtId="14">
      <sharedItems containsSemiMixedTypes="0" containsNonDate="0" containsDate="1" containsString="0" minDate="2026-08-31T00:00:00" maxDate="2026-10-07T00:00:00"/>
    </cacheField>
    <cacheField name="hora" numFmtId="0">
      <sharedItems/>
    </cacheField>
    <cacheField name="mes" numFmtId="0">
      <sharedItems count="3">
        <s v="2026-08"/>
        <s v="2026-09"/>
        <s v="2026-10"/>
      </sharedItems>
    </cacheField>
    <cacheField name="semana_iso" numFmtId="0">
      <sharedItems containsSemiMixedTypes="0" containsString="0" containsNumber="1" containsInteger="1" minValue="36" maxValue="41"/>
    </cacheField>
    <cacheField name="dia_semana" numFmtId="0">
      <sharedItems count="5">
        <s v="lunes"/>
        <s v="martes"/>
        <s v="miércoles"/>
        <s v="jueves"/>
        <s v="viernes"/>
      </sharedItems>
    </cacheField>
    <cacheField name="num_dia_semana" numFmtId="0">
      <sharedItems containsSemiMixedTypes="0" containsString="0" containsNumber="1" containsInteger="1" minValue="0" maxValue="4"/>
    </cacheField>
    <cacheField name="hora_del_dia" numFmtId="0">
      <sharedItems containsSemiMixedTypes="0" containsString="0" containsNumber="1" containsInteger="1" minValue="6" maxValue="23"/>
    </cacheField>
    <cacheField name="franja_horaria" numFmtId="0">
      <sharedItems count="10">
        <s v="06:00-06:59"/>
        <s v="07:00-07:59"/>
        <s v="08:00-08:59"/>
        <s v="09:00-09:59"/>
        <s v="10:00-10:59"/>
        <s v="11:00-11:59"/>
        <s v="12:00-12:59"/>
        <s v="21:00-21:59"/>
        <s v="22:00-22:59"/>
        <s v="23:00-23:59"/>
      </sharedItems>
    </cacheField>
    <cacheField name="producto" numFmtId="0">
      <sharedItems count="8">
        <s v="VTC"/>
        <s v="VTC Airport"/>
        <s v="VTC Prioritario"/>
        <s v="VTC Eco"/>
        <s v="Electric"/>
        <s v="VTC Promo"/>
        <s v="Envíos en coche"/>
        <s v="Desconocido"/>
      </sharedItems>
    </cacheField>
    <cacheField name="importe_eur" numFmtId="0">
      <sharedItems containsSemiMixedTypes="0" containsString="0" containsNumber="1" minValue="0.0" maxValue="45.12"/>
    </cacheField>
    <cacheField name="metodo_pago" numFmtId="0">
      <sharedItems count="2">
        <s v="app"/>
        <s v="efectivo"/>
      </sharedItems>
    </cacheField>
    <cacheField name="sin_ingreso" numFmtId="0">
      <sharedItems count="2">
        <b v="0"/>
        <b v="1"/>
      </sharedItems>
    </cacheField>
    <cacheField name="importe_6_exactos" numFmtId="0">
      <sharedItems count="2">
        <b v="0"/>
        <b v="1"/>
      </sharedItems>
    </cacheField>
    <cacheField name="es_aeropuerto" numFmtId="0">
      <sharedItems count="2">
        <b v="0"/>
        <b v="1"/>
      </sharedItems>
    </cacheField>
    <cacheField name="dia_completo" numFmtId="0">
      <sharedItems count="2">
        <b v="0"/>
        <b v="1"/>
      </sharedItems>
    </cacheField>
  </cacheFields>
</pivotCacheDefinition>
</file>

<file path=xl/pivotTables/_rels/pivotTable1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D_DiaSemana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dia_semana">
  <location ref="A3:C9" firstHeaderRow="0" firstDataRow="1" firstDataCol="1" rowPageCount="1" colPageCount="1"/>
  <pivotFields count="16">
    <pivotField dataField="1" showAll="0"/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pageFields count="1">
    <pageField fld="15" item="1" hier="-1"/>
  </pageFields>
  <dataFields count="2">
    <dataField name="Suma de importe_eur" fld="10" subtotal="sum" baseField="0" baseItem="0" numFmtId="4"/>
    <dataField name="Nº de viajes" fld="0" subtotal="count" baseField="0" baseItem="0" numFmtId="0"/>
  </dataFields>
  <pivotTableStyleInfo name="PivotStyleMedium2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TD_Franjas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franja_horaria">
  <location ref="A3:D14" firstHeaderRow="0" firstDataRow="1" firstDataCol="1" rowPageCount="1" colPageCount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dataField="1"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5" item="1" hier="-1"/>
  </pageFields>
  <dataFields count="3">
    <dataField name="Nº de viajes" fld="0" subtotal="count" baseField="0" baseItem="0" numFmtId="0"/>
    <dataField name="Suma de importe_eur" fld="10" subtotal="sum" baseField="0" baseItem="0" numFmtId="4"/>
    <dataField name="Promedio de importe_eur" fld="10" subtotal="average" baseField="0" baseItem="0" numFmtId="4"/>
  </dataFields>
  <pivotTableStyleInfo name="PivotStyleMedium2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TD_Producto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producto">
  <location ref="A1:D10" firstHeaderRow="0" firstDataRow="1" firstDataCol="1"/>
  <pivotFields count="16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º de viajes" fld="0" subtotal="count" baseField="0" baseItem="0" numFmtId="0"/>
    <dataField name="Suma de importe_eur" fld="10" subtotal="sum" baseField="0" baseItem="0" numFmtId="4"/>
    <dataField name="Promedio de importe_eur" fld="10" subtotal="average" baseField="0" baseItem="0" numFmtId="4"/>
  </dataFields>
  <pivotTableStyleInfo name="PivotStyleMedium2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TD_Mes_Pago" cacheId="1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outline="1" outlineData="1" multipleFieldFilters="0" rowHeaderCaption="mes">
  <location ref="A1:D6" firstHeaderRow="1" firstDataRow="2" firstDataCol="1"/>
  <pivotFields count="16"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Fields count="1">
    <field x="11"/>
  </colFields>
  <colItems count="3">
    <i>
      <x/>
    </i>
    <i>
      <x v="1"/>
    </i>
    <i t="grand">
      <x/>
    </i>
  </colItems>
  <dataFields count="1">
    <dataField name="Suma de importe_eur" fld="10" subtotal="sum" baseField="0" baseItem="0" numFmtId="4"/>
  </dataFields>
  <pivotTableStyleInfo name="PivotStyleMedium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Viajes" displayName="tViajes" ref="A1:Q213" headerRowCount="1">
  <autoFilter ref="A1:Q213"/>
  <tableColumns count="17">
    <tableColumn id="1" name="id_viaje"/>
    <tableColumn id="2" name="fecha"/>
    <tableColumn id="3" name="hora"/>
    <tableColumn id="4" name="mes"/>
    <tableColumn id="5" name="semana_iso"/>
    <tableColumn id="6" name="dia_semana"/>
    <tableColumn id="7" name="num_dia_semana"/>
    <tableColumn id="8" name="hora_del_dia"/>
    <tableColumn id="9" name="franja_horaria"/>
    <tableColumn id="10" name="producto"/>
    <tableColumn id="11" name="importe_eur"/>
    <tableColumn id="12" name="metodo_pago"/>
    <tableColumn id="13" name="sin_ingreso"/>
    <tableColumn id="14" name="importe_6_exactos"/>
    <tableColumn id="15" name="es_aeropuerto"/>
    <tableColumn id="16" name="dia_completo"/>
    <tableColumn id="17" name="es_primer_viaje_dia"/>
  </tableColumns>
  <tableStyleInfo name="TableStyleMedium2" showRowStripes="1"/>
</table>
</file>

<file path=xl/tables/table2.xml><?xml version="1.0" encoding="utf-8"?>
<table xmlns="http://schemas.openxmlformats.org/spreadsheetml/2006/main" id="2" name="tJornadas" displayName="tJornadas" ref="A1:P9" headerRowCount="1">
  <autoFilter ref="A1:P9"/>
  <tableColumns count="16">
    <tableColumn id="1" name="fecha"/>
    <tableColumn id="2" name="dia_semana"/>
    <tableColumn id="3" name="inicio"/>
    <tableColumn id="4" name="fin"/>
    <tableColumn id="5" name="conduccion_efectiva_min"/>
    <tableColumn id="6" name="recarga_electrica_min"/>
    <tableColumn id="7" name="cuidado_vehiculo_min"/>
    <tableColumn id="8" name="conduccion_no_efectiva_min"/>
    <tableColumn id="9" name="sin_clasificar_min"/>
    <tableColumn id="10" name="tiempo_efectivo_min"/>
    <tableColumn id="11" name="tiempo_total_app_min"/>
    <tableColumn id="12" name="jornada_anomala"/>
    <tableColumn id="13" name="ingresos_eur"/>
    <tableColumn id="14" name="horas_totales"/>
    <tableColumn id="15" name="eur_por_hora_total"/>
    <tableColumn id="16" name="eur_por_hora_efectiv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?xml version="1.0" encoding="UTF-8" standalone="yes"?>
<Relationships xmlns="http://schemas.openxmlformats.org/package/2006/relationships"><Relationship Id="rIdPT1" Type="http://schemas.openxmlformats.org/officeDocument/2006/relationships/pivotTable" Target="../pivotTables/pivotTable1.xml"/></Relationships>
</file>

<file path=xl/worksheets/_rels/sheet5.xml.rels><?xml version="1.0" encoding="UTF-8" standalone="yes"?>
<Relationships xmlns="http://schemas.openxmlformats.org/package/2006/relationships"><Relationship Id="rIdPT2" Type="http://schemas.openxmlformats.org/officeDocument/2006/relationships/pivotTable" Target="../pivotTables/pivotTable2.xml"/></Relationships>
</file>

<file path=xl/worksheets/_rels/sheet6.xml.rels><?xml version="1.0" encoding="UTF-8" standalone="yes"?>
<Relationships xmlns="http://schemas.openxmlformats.org/package/2006/relationships"><Relationship Id="rIdPT3" Type="http://schemas.openxmlformats.org/officeDocument/2006/relationships/pivotTable" Target="../pivotTables/pivotTable3.xml"/></Relationships>
</file>

<file path=xl/worksheets/_rels/sheet7.xml.rels><?xml version="1.0" encoding="UTF-8" standalone="yes"?>
<Relationships xmlns="http://schemas.openxmlformats.org/package/2006/relationships"><Relationship Id="rIdPT4" Type="http://schemas.openxmlformats.org/officeDocument/2006/relationships/pivotTable" Target="../pivotTables/pivotTable4.x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Análisis VTC · 1/09–7/10/2026</t>
        </is>
      </c>
    </row>
    <row r="2">
      <c r="A2" s="2" t="inlineStr">
        <is>
          <t>Datos reales del conductor, anonimizados (sin pasajeros, matrículas ni direcciones).</t>
        </is>
      </c>
    </row>
    <row r="3">
      <c r="A3" s="3" t="inlineStr"/>
    </row>
    <row r="4">
      <c r="A4" s="4" t="inlineStr">
        <is>
          <t>Hojas</t>
        </is>
      </c>
    </row>
    <row r="5">
      <c r="A5" s="3" t="inlineStr">
        <is>
          <t>Resumen: indicadores y tablas con fórmulas (SUMIFS, COUNTIFS, AVERAGEIFS) y 3 gráficos.</t>
        </is>
      </c>
    </row>
    <row r="6">
      <c r="A6" s="3" t="inlineStr">
        <is>
          <t>Escenarios: calcula tu neto por hora. Rellena las celdas AMARILLAS con tus costes.</t>
        </is>
      </c>
    </row>
    <row r="7">
      <c r="A7" s="3" t="inlineStr">
        <is>
          <t>TD_DiaSemana, TD_Franjas, TD_Producto, TD_Mes_Pago: tablas dinámicas reales sobre la hoja Viajes.</t>
        </is>
      </c>
    </row>
    <row r="8">
      <c r="A8" s="3" t="inlineStr">
        <is>
          <t>Viajes: 212 viajes (Tabla de Excel «tViajes»). Jornadas: 8 jornadas con horas de la app de la flota.</t>
        </is>
      </c>
    </row>
    <row r="9">
      <c r="A9" s="3" t="inlineStr"/>
    </row>
    <row r="10">
      <c r="A10" s="4" t="inlineStr">
        <is>
          <t>Leyenda de colores</t>
        </is>
      </c>
    </row>
    <row r="11">
      <c r="A11" s="3" t="inlineStr">
        <is>
          <t>Texto negro = fórmula · Texto azul = valor fijo/supuesto · Fondo amarillo = celda para que la rellenes tú.</t>
        </is>
      </c>
    </row>
    <row r="12">
      <c r="A12" s="3" t="inlineStr"/>
    </row>
    <row r="13">
      <c r="A13" s="4" t="inlineStr">
        <is>
          <t>Cómo practicar con las tablas dinámicas</t>
        </is>
      </c>
    </row>
    <row r="14">
      <c r="A14" s="3" t="inlineStr">
        <is>
          <t>1. Haz clic dentro de una tabla dinámica → aparece el panel «Campos de tabla dinámica».</t>
        </is>
      </c>
    </row>
    <row r="15">
      <c r="A15" s="3" t="inlineStr">
        <is>
          <t>2. Arrastra campos a Filas, Columnas, Valores o Filtros. Prueba: Filas = semana_iso, Valores = Suma de importe_eur.</t>
        </is>
      </c>
    </row>
    <row r="16">
      <c r="A16" s="3" t="inlineStr">
        <is>
          <t>3. Clic derecho en un valor → «Configuración de campo de valor» para cambiar Suma por Promedio o Cuenta.</t>
        </is>
      </c>
    </row>
    <row r="17">
      <c r="A17" s="3" t="inlineStr">
        <is>
          <t>4. Si cambias datos en la hoja Viajes: Datos → Actualizar todo.</t>
        </is>
      </c>
    </row>
    <row r="18">
      <c r="A18" s="3" t="inlineStr"/>
    </row>
    <row r="19">
      <c r="A19" s="2" t="inlineStr">
        <is>
          <t>Limitaciones principales: solo 8 jornadas con horas; sin zonas, sin Uber, sin costes. Ver LIMITACIONES.md.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44" customWidth="1" min="3" max="3"/>
    <col width="22" customWidth="1" min="4" max="4"/>
    <col width="22" customWidth="1" min="5" max="5"/>
  </cols>
  <sheetData>
    <row r="1">
      <c r="A1" s="1" t="inlineStr">
        <is>
          <t>Resumen del análisis VTC (1/09–7/10/2026)</t>
        </is>
      </c>
    </row>
    <row r="2">
      <c r="A2" s="5" t="inlineStr">
        <is>
          <t>Todas las cifras son FÓRMULAS sobre las hojas Viajes y Jornadas. Solo días completos (sin la noche del 31/08).</t>
        </is>
      </c>
    </row>
    <row r="4">
      <c r="A4" s="6" t="inlineStr">
        <is>
          <t>Indicador</t>
        </is>
      </c>
      <c r="B4" s="6" t="inlineStr">
        <is>
          <t>Valor</t>
        </is>
      </c>
      <c r="C4" s="6" t="inlineStr">
        <is>
          <t>Cómo se calcula</t>
        </is>
      </c>
    </row>
    <row r="5">
      <c r="A5" s="7" t="inlineStr">
        <is>
          <t>Días completos trabajados</t>
        </is>
      </c>
      <c r="B5" s="8">
        <f>SUMIFS(Viajes!$Q$2:$Q$213,Viajes!$P$2:$P$213,TRUE)</f>
        <v/>
      </c>
      <c r="C5" s="9" t="inlineStr">
        <is>
          <t>Suma de la columna auxiliar es_primer_viaje_dia (1 por fecha) en días completos</t>
        </is>
      </c>
    </row>
    <row r="6">
      <c r="A6" s="7" t="inlineStr">
        <is>
          <t>Viajes</t>
        </is>
      </c>
      <c r="B6" s="8">
        <f>COUNTIFS(Viajes!$P$2:$P$213,TRUE)</f>
        <v/>
      </c>
      <c r="C6" s="9" t="inlineStr">
        <is>
          <t>COUNTIFS</t>
        </is>
      </c>
    </row>
    <row r="7">
      <c r="A7" s="7" t="inlineStr">
        <is>
          <t>Ingresos totales</t>
        </is>
      </c>
      <c r="B7" s="10">
        <f>SUMIFS(Viajes!$K$2:$K$213,Viajes!$P$2:$P$213,TRUE)</f>
        <v/>
      </c>
      <c r="C7" s="9" t="inlineStr">
        <is>
          <t>SUMIFS de importe_eur</t>
        </is>
      </c>
    </row>
    <row r="8">
      <c r="A8" s="7" t="inlineStr">
        <is>
          <t>Ingreso medio por día</t>
        </is>
      </c>
      <c r="B8" s="10">
        <f>B7/B5</f>
        <v/>
      </c>
      <c r="C8" s="9" t="inlineStr">
        <is>
          <t>Ingresos ÷ días</t>
        </is>
      </c>
    </row>
    <row r="9">
      <c r="A9" s="7" t="inlineStr">
        <is>
          <t>Viajes por día</t>
        </is>
      </c>
      <c r="B9" s="11">
        <f>B6/B5</f>
        <v/>
      </c>
      <c r="C9" s="9" t="inlineStr">
        <is>
          <t>Viajes ÷ días</t>
        </is>
      </c>
    </row>
    <row r="10">
      <c r="A10" s="7" t="inlineStr">
        <is>
          <t>Importe medio por viaje con ingreso</t>
        </is>
      </c>
      <c r="B10" s="10">
        <f>AVERAGEIFS(Viajes!$K$2:$K$213,Viajes!$K$2:$K$213,"&gt;0",Viajes!$P$2:$P$213,TRUE)</f>
        <v/>
      </c>
      <c r="C10" s="9" t="inlineStr">
        <is>
          <t>AVERAGEIFS, excluye los viajes de 0 €</t>
        </is>
      </c>
    </row>
    <row r="11">
      <c r="A11" s="7" t="inlineStr">
        <is>
          <t>% de viajes a 0 €</t>
        </is>
      </c>
      <c r="B11" s="12">
        <f>COUNTIFS(Viajes!$K$2:$K$213,0,Viajes!$P$2:$P$213,TRUE)/B6</f>
        <v/>
      </c>
      <c r="C11" s="9" t="inlineStr">
        <is>
          <t>Probables cancelaciones</t>
        </is>
      </c>
    </row>
    <row r="12">
      <c r="A12" s="7" t="inlineStr">
        <is>
          <t>% de viajes de 6 € exactos</t>
        </is>
      </c>
      <c r="B12" s="12">
        <f>COUNTIFS(Viajes!$K$2:$K$213,6,Viajes!$P$2:$P$213,TRUE)/B6</f>
        <v/>
      </c>
      <c r="C12" s="9" t="inlineStr">
        <is>
          <t>Probable importe mínimo</t>
        </is>
      </c>
    </row>
    <row r="13">
      <c r="A13" s="7" t="inlineStr">
        <is>
          <t>€ por hora de jornada (bruto)</t>
        </is>
      </c>
      <c r="B13" s="10">
        <f>SUMIFS(Jornadas!$M$2:$M$9,Jornadas!$L$2:$L$9,FALSE)/(SUMIFS(Jornadas!$K$2:$K$9,Jornadas!$L$2:$L$9,FALSE)/60)</f>
        <v/>
      </c>
      <c r="C13" s="9" t="inlineStr">
        <is>
          <t>7 jornadas con horas (sin el 02/10): Σ€ ÷ Σhoras</t>
        </is>
      </c>
    </row>
    <row r="14">
      <c r="A14" s="7" t="inlineStr">
        <is>
          <t>€ por hora efectiva (bruto)</t>
        </is>
      </c>
      <c r="B14" s="10">
        <f>SUMIFS(Jornadas!$M$2:$M$9,Jornadas!$L$2:$L$9,FALSE)/(SUMIFS(Jornadas!$J$2:$J$9,Jornadas!$L$2:$L$9,FALSE)/60)</f>
        <v/>
      </c>
      <c r="C14" s="9" t="inlineStr">
        <is>
          <t>Igual, con el tiempo efectivo de la flota</t>
        </is>
      </c>
    </row>
    <row r="15">
      <c r="A15" s="7" t="inlineStr">
        <is>
          <t>Minutos/día sin conducción efectiva</t>
        </is>
      </c>
      <c r="B15" s="8">
        <f>AVERAGEIFS(Jornadas!$F$2:$F$9,Jornadas!$L$2:$L$9,FALSE)+AVERAGEIFS(Jornadas!$G$2:$G$9,Jornadas!$L$2:$L$9,FALSE)+AVERAGEIFS(Jornadas!$H$2:$H$9,Jornadas!$L$2:$L$9,FALSE)+AVERAGEIFS(Jornadas!$I$2:$I$9,Jornadas!$L$2:$L$9,FALSE)</f>
        <v/>
      </c>
      <c r="C15" s="9" t="inlineStr">
        <is>
          <t>Recarga + cuidado + no efectiva + sin clasificar</t>
        </is>
      </c>
    </row>
    <row r="17">
      <c r="A17" s="4" t="inlineStr">
        <is>
          <t>Pregunta 2 · Ingresos por día de la semana</t>
        </is>
      </c>
    </row>
    <row r="18">
      <c r="A18" s="6" t="inlineStr">
        <is>
          <t>Día</t>
        </is>
      </c>
      <c r="B18" s="6" t="inlineStr">
        <is>
          <t>Días trabajados</t>
        </is>
      </c>
      <c r="C18" s="6" t="inlineStr">
        <is>
          <t>Ingresos</t>
        </is>
      </c>
      <c r="D18" s="6" t="inlineStr">
        <is>
          <t>Ingreso medio por día</t>
        </is>
      </c>
    </row>
    <row r="19">
      <c r="A19" s="7" t="inlineStr">
        <is>
          <t>lunes</t>
        </is>
      </c>
      <c r="B19" s="13">
        <f>SUMIFS(Viajes!$Q$2:$Q$213,Viajes!$F$2:$F$213,A19,Viajes!$P$2:$P$213,TRUE)</f>
        <v/>
      </c>
      <c r="C19" s="14">
        <f>SUMIFS(Viajes!$K$2:$K$213,Viajes!$F$2:$F$213,A19,Viajes!$P$2:$P$213,TRUE)</f>
        <v/>
      </c>
      <c r="D19" s="14">
        <f>C19/B19</f>
        <v/>
      </c>
    </row>
    <row r="20">
      <c r="A20" s="7" t="inlineStr">
        <is>
          <t>martes</t>
        </is>
      </c>
      <c r="B20" s="13">
        <f>SUMIFS(Viajes!$Q$2:$Q$213,Viajes!$F$2:$F$213,A20,Viajes!$P$2:$P$213,TRUE)</f>
        <v/>
      </c>
      <c r="C20" s="14">
        <f>SUMIFS(Viajes!$K$2:$K$213,Viajes!$F$2:$F$213,A20,Viajes!$P$2:$P$213,TRUE)</f>
        <v/>
      </c>
      <c r="D20" s="14">
        <f>C20/B20</f>
        <v/>
      </c>
    </row>
    <row r="21">
      <c r="A21" s="7" t="inlineStr">
        <is>
          <t>miércoles</t>
        </is>
      </c>
      <c r="B21" s="13">
        <f>SUMIFS(Viajes!$Q$2:$Q$213,Viajes!$F$2:$F$213,A21,Viajes!$P$2:$P$213,TRUE)</f>
        <v/>
      </c>
      <c r="C21" s="14">
        <f>SUMIFS(Viajes!$K$2:$K$213,Viajes!$F$2:$F$213,A21,Viajes!$P$2:$P$213,TRUE)</f>
        <v/>
      </c>
      <c r="D21" s="14">
        <f>C21/B21</f>
        <v/>
      </c>
    </row>
    <row r="22">
      <c r="A22" s="7" t="inlineStr">
        <is>
          <t>jueves</t>
        </is>
      </c>
      <c r="B22" s="13">
        <f>SUMIFS(Viajes!$Q$2:$Q$213,Viajes!$F$2:$F$213,A22,Viajes!$P$2:$P$213,TRUE)</f>
        <v/>
      </c>
      <c r="C22" s="14">
        <f>SUMIFS(Viajes!$K$2:$K$213,Viajes!$F$2:$F$213,A22,Viajes!$P$2:$P$213,TRUE)</f>
        <v/>
      </c>
      <c r="D22" s="14">
        <f>C22/B22</f>
        <v/>
      </c>
    </row>
    <row r="23">
      <c r="A23" s="7" t="inlineStr">
        <is>
          <t>viernes</t>
        </is>
      </c>
      <c r="B23" s="13">
        <f>SUMIFS(Viajes!$Q$2:$Q$213,Viajes!$F$2:$F$213,A23,Viajes!$P$2:$P$213,TRUE)</f>
        <v/>
      </c>
      <c r="C23" s="14">
        <f>SUMIFS(Viajes!$K$2:$K$213,Viajes!$F$2:$F$213,A23,Viajes!$P$2:$P$213,TRUE)</f>
        <v/>
      </c>
      <c r="D23" s="14">
        <f>C23/B23</f>
        <v/>
      </c>
    </row>
    <row r="26">
      <c r="A26" s="4" t="inlineStr">
        <is>
          <t>Pregunta 2 · Franjas horarias (hora de inicio del viaje)</t>
        </is>
      </c>
    </row>
    <row r="27">
      <c r="A27" s="6" t="inlineStr">
        <is>
          <t>Franja</t>
        </is>
      </c>
      <c r="B27" s="6" t="inlineStr">
        <is>
          <t>Viajes</t>
        </is>
      </c>
      <c r="C27" s="6" t="inlineStr">
        <is>
          <t>Ingresos</t>
        </is>
      </c>
      <c r="D27" s="6" t="inlineStr">
        <is>
          <t>% viajes a 0 €</t>
        </is>
      </c>
      <c r="E27" s="6" t="inlineStr">
        <is>
          <t>€ por hora trabajada*</t>
        </is>
      </c>
    </row>
    <row r="28">
      <c r="A28" s="7" t="inlineStr">
        <is>
          <t>06:00-06:59</t>
        </is>
      </c>
      <c r="B28" s="7">
        <f>COUNTIFS(Viajes!$I$2:$I$213,A28,Viajes!$P$2:$P$213,TRUE)</f>
        <v/>
      </c>
      <c r="C28" s="14">
        <f>SUMIFS(Viajes!$K$2:$K$213,Viajes!$I$2:$I$213,A28,Viajes!$P$2:$P$213,TRUE)</f>
        <v/>
      </c>
      <c r="D28" s="15">
        <f>COUNTIFS(Viajes!$I$2:$I$213,A28,Viajes!$K$2:$K$213,0,Viajes!$P$2:$P$213,TRUE)/B28</f>
        <v/>
      </c>
      <c r="E28" s="16" t="n">
        <v>16.56</v>
      </c>
    </row>
    <row r="29">
      <c r="A29" s="7" t="inlineStr">
        <is>
          <t>07:00-07:59</t>
        </is>
      </c>
      <c r="B29" s="7">
        <f>COUNTIFS(Viajes!$I$2:$I$213,A29,Viajes!$P$2:$P$213,TRUE)</f>
        <v/>
      </c>
      <c r="C29" s="14">
        <f>SUMIFS(Viajes!$K$2:$K$213,Viajes!$I$2:$I$213,A29,Viajes!$P$2:$P$213,TRUE)</f>
        <v/>
      </c>
      <c r="D29" s="15">
        <f>COUNTIFS(Viajes!$I$2:$I$213,A29,Viajes!$K$2:$K$213,0,Viajes!$P$2:$P$213,TRUE)/B29</f>
        <v/>
      </c>
      <c r="E29" s="16" t="n">
        <v>17.72</v>
      </c>
    </row>
    <row r="30">
      <c r="A30" s="7" t="inlineStr">
        <is>
          <t>08:00-08:59</t>
        </is>
      </c>
      <c r="B30" s="7">
        <f>COUNTIFS(Viajes!$I$2:$I$213,A30,Viajes!$P$2:$P$213,TRUE)</f>
        <v/>
      </c>
      <c r="C30" s="14">
        <f>SUMIFS(Viajes!$K$2:$K$213,Viajes!$I$2:$I$213,A30,Viajes!$P$2:$P$213,TRUE)</f>
        <v/>
      </c>
      <c r="D30" s="15">
        <f>COUNTIFS(Viajes!$I$2:$I$213,A30,Viajes!$K$2:$K$213,0,Viajes!$P$2:$P$213,TRUE)/B30</f>
        <v/>
      </c>
      <c r="E30" s="16" t="n">
        <v>22.46</v>
      </c>
    </row>
    <row r="31">
      <c r="A31" s="7" t="inlineStr">
        <is>
          <t>09:00-09:59</t>
        </is>
      </c>
      <c r="B31" s="7">
        <f>COUNTIFS(Viajes!$I$2:$I$213,A31,Viajes!$P$2:$P$213,TRUE)</f>
        <v/>
      </c>
      <c r="C31" s="14">
        <f>SUMIFS(Viajes!$K$2:$K$213,Viajes!$I$2:$I$213,A31,Viajes!$P$2:$P$213,TRUE)</f>
        <v/>
      </c>
      <c r="D31" s="15">
        <f>COUNTIFS(Viajes!$I$2:$I$213,A31,Viajes!$K$2:$K$213,0,Viajes!$P$2:$P$213,TRUE)/B31</f>
        <v/>
      </c>
      <c r="E31" s="16" t="n">
        <v>17.92</v>
      </c>
    </row>
    <row r="32">
      <c r="A32" s="7" t="inlineStr">
        <is>
          <t>10:00-10:59</t>
        </is>
      </c>
      <c r="B32" s="7">
        <f>COUNTIFS(Viajes!$I$2:$I$213,A32,Viajes!$P$2:$P$213,TRUE)</f>
        <v/>
      </c>
      <c r="C32" s="14">
        <f>SUMIFS(Viajes!$K$2:$K$213,Viajes!$I$2:$I$213,A32,Viajes!$P$2:$P$213,TRUE)</f>
        <v/>
      </c>
      <c r="D32" s="15">
        <f>COUNTIFS(Viajes!$I$2:$I$213,A32,Viajes!$K$2:$K$213,0,Viajes!$P$2:$P$213,TRUE)/B32</f>
        <v/>
      </c>
      <c r="E32" s="16" t="n">
        <v>11.79</v>
      </c>
    </row>
    <row r="33">
      <c r="A33" s="7" t="inlineStr">
        <is>
          <t>11:00-11:59</t>
        </is>
      </c>
      <c r="B33" s="7">
        <f>COUNTIFS(Viajes!$I$2:$I$213,A33,Viajes!$P$2:$P$213,TRUE)</f>
        <v/>
      </c>
      <c r="C33" s="14">
        <f>SUMIFS(Viajes!$K$2:$K$213,Viajes!$I$2:$I$213,A33,Viajes!$P$2:$P$213,TRUE)</f>
        <v/>
      </c>
      <c r="D33" s="15">
        <f>COUNTIFS(Viajes!$I$2:$I$213,A33,Viajes!$K$2:$K$213,0,Viajes!$P$2:$P$213,TRUE)/B33</f>
        <v/>
      </c>
      <c r="E33" s="16" t="n">
        <v>8.65</v>
      </c>
    </row>
    <row r="34">
      <c r="A34" s="7" t="inlineStr">
        <is>
          <t>12:00-12:59</t>
        </is>
      </c>
      <c r="B34" s="7">
        <f>COUNTIFS(Viajes!$I$2:$I$213,A34,Viajes!$P$2:$P$213,TRUE)</f>
        <v/>
      </c>
      <c r="C34" s="14">
        <f>SUMIFS(Viajes!$K$2:$K$213,Viajes!$I$2:$I$213,A34,Viajes!$P$2:$P$213,TRUE)</f>
        <v/>
      </c>
      <c r="D34" s="15">
        <f>COUNTIFS(Viajes!$I$2:$I$213,A34,Viajes!$K$2:$K$213,0,Viajes!$P$2:$P$213,TRUE)/B34</f>
        <v/>
      </c>
      <c r="E34" s="16" t="n">
        <v>3.8</v>
      </c>
    </row>
    <row r="35">
      <c r="A35" s="5" t="inlineStr">
        <is>
          <t>* Valor fijo (texto azul) calculado en 02_analisis.ipynb: € de cada hora ÷ días en que trabajaste esa hora (entre tu primer y tu último viaje). No se puede hacer con una fórmula sencilla.</t>
        </is>
      </c>
    </row>
    <row r="37">
      <c r="A37" s="4" t="inlineStr">
        <is>
          <t>Preguntas 3 y 5 · Tipos de servicio (no hay datos de Uber)</t>
        </is>
      </c>
    </row>
    <row r="38">
      <c r="A38" s="6" t="inlineStr">
        <is>
          <t>Producto</t>
        </is>
      </c>
      <c r="B38" s="6" t="inlineStr">
        <is>
          <t>Viajes</t>
        </is>
      </c>
      <c r="C38" s="6" t="inlineStr">
        <is>
          <t>Ingresos</t>
        </is>
      </c>
      <c r="D38" s="6" t="inlineStr">
        <is>
          <t>Importe medio sin los de 0 €</t>
        </is>
      </c>
    </row>
    <row r="39">
      <c r="A39" s="7" t="inlineStr">
        <is>
          <t>VTC</t>
        </is>
      </c>
      <c r="B39" s="7">
        <f>COUNTIFS(Viajes!$J$2:$J$213,A39,Viajes!$P$2:$P$213,TRUE)</f>
        <v/>
      </c>
      <c r="C39" s="14">
        <f>SUMIFS(Viajes!$K$2:$K$213,Viajes!$J$2:$J$213,A39,Viajes!$P$2:$P$213,TRUE)</f>
        <v/>
      </c>
      <c r="D39" s="14">
        <f>IFERROR(AVERAGEIFS(Viajes!$K$2:$K$213,Viajes!$J$2:$J$213,A39,Viajes!$K$2:$K$213,"&gt;0",Viajes!$P$2:$P$213,TRUE),0)</f>
        <v/>
      </c>
    </row>
    <row r="40">
      <c r="A40" s="7" t="inlineStr">
        <is>
          <t>VTC Airport</t>
        </is>
      </c>
      <c r="B40" s="7">
        <f>COUNTIFS(Viajes!$J$2:$J$213,A40,Viajes!$P$2:$P$213,TRUE)</f>
        <v/>
      </c>
      <c r="C40" s="14">
        <f>SUMIFS(Viajes!$K$2:$K$213,Viajes!$J$2:$J$213,A40,Viajes!$P$2:$P$213,TRUE)</f>
        <v/>
      </c>
      <c r="D40" s="14">
        <f>IFERROR(AVERAGEIFS(Viajes!$K$2:$K$213,Viajes!$J$2:$J$213,A40,Viajes!$K$2:$K$213,"&gt;0",Viajes!$P$2:$P$213,TRUE),0)</f>
        <v/>
      </c>
    </row>
    <row r="41">
      <c r="A41" s="7" t="inlineStr">
        <is>
          <t>VTC Eco</t>
        </is>
      </c>
      <c r="B41" s="7">
        <f>COUNTIFS(Viajes!$J$2:$J$213,A41,Viajes!$P$2:$P$213,TRUE)</f>
        <v/>
      </c>
      <c r="C41" s="14">
        <f>SUMIFS(Viajes!$K$2:$K$213,Viajes!$J$2:$J$213,A41,Viajes!$P$2:$P$213,TRUE)</f>
        <v/>
      </c>
      <c r="D41" s="14">
        <f>IFERROR(AVERAGEIFS(Viajes!$K$2:$K$213,Viajes!$J$2:$J$213,A41,Viajes!$K$2:$K$213,"&gt;0",Viajes!$P$2:$P$213,TRUE),0)</f>
        <v/>
      </c>
    </row>
    <row r="42">
      <c r="A42" s="7" t="inlineStr">
        <is>
          <t>VTC Prioritario</t>
        </is>
      </c>
      <c r="B42" s="7">
        <f>COUNTIFS(Viajes!$J$2:$J$213,A42,Viajes!$P$2:$P$213,TRUE)</f>
        <v/>
      </c>
      <c r="C42" s="14">
        <f>SUMIFS(Viajes!$K$2:$K$213,Viajes!$J$2:$J$213,A42,Viajes!$P$2:$P$213,TRUE)</f>
        <v/>
      </c>
      <c r="D42" s="14">
        <f>IFERROR(AVERAGEIFS(Viajes!$K$2:$K$213,Viajes!$J$2:$J$213,A42,Viajes!$K$2:$K$213,"&gt;0",Viajes!$P$2:$P$213,TRUE),0)</f>
        <v/>
      </c>
    </row>
    <row r="43">
      <c r="A43" s="7" t="inlineStr">
        <is>
          <t>Electric</t>
        </is>
      </c>
      <c r="B43" s="7">
        <f>COUNTIFS(Viajes!$J$2:$J$213,A43,Viajes!$P$2:$P$213,TRUE)</f>
        <v/>
      </c>
      <c r="C43" s="14">
        <f>SUMIFS(Viajes!$K$2:$K$213,Viajes!$J$2:$J$213,A43,Viajes!$P$2:$P$213,TRUE)</f>
        <v/>
      </c>
      <c r="D43" s="14">
        <f>IFERROR(AVERAGEIFS(Viajes!$K$2:$K$213,Viajes!$J$2:$J$213,A43,Viajes!$K$2:$K$213,"&gt;0",Viajes!$P$2:$P$213,TRUE),0)</f>
        <v/>
      </c>
    </row>
    <row r="44">
      <c r="A44" s="7" t="inlineStr">
        <is>
          <t>VTC Promo</t>
        </is>
      </c>
      <c r="B44" s="7">
        <f>COUNTIFS(Viajes!$J$2:$J$213,A44,Viajes!$P$2:$P$213,TRUE)</f>
        <v/>
      </c>
      <c r="C44" s="14">
        <f>SUMIFS(Viajes!$K$2:$K$213,Viajes!$J$2:$J$213,A44,Viajes!$P$2:$P$213,TRUE)</f>
        <v/>
      </c>
      <c r="D44" s="14">
        <f>IFERROR(AVERAGEIFS(Viajes!$K$2:$K$213,Viajes!$J$2:$J$213,A44,Viajes!$K$2:$K$213,"&gt;0",Viajes!$P$2:$P$213,TRUE),0)</f>
        <v/>
      </c>
    </row>
    <row r="45">
      <c r="A45" s="7" t="inlineStr">
        <is>
          <t>Envíos en coche</t>
        </is>
      </c>
      <c r="B45" s="7">
        <f>COUNTIFS(Viajes!$J$2:$J$213,A45,Viajes!$P$2:$P$213,TRUE)</f>
        <v/>
      </c>
      <c r="C45" s="14">
        <f>SUMIFS(Viajes!$K$2:$K$213,Viajes!$J$2:$J$213,A45,Viajes!$P$2:$P$213,TRUE)</f>
        <v/>
      </c>
      <c r="D45" s="14">
        <f>IFERROR(AVERAGEIFS(Viajes!$K$2:$K$213,Viajes!$J$2:$J$213,A45,Viajes!$K$2:$K$213,"&gt;0",Viajes!$P$2:$P$213,TRUE),0)</f>
        <v/>
      </c>
    </row>
    <row r="46">
      <c r="A46" s="7" t="inlineStr">
        <is>
          <t>Desconocido</t>
        </is>
      </c>
      <c r="B46" s="7">
        <f>COUNTIFS(Viajes!$J$2:$J$213,A46,Viajes!$P$2:$P$213,TRUE)</f>
        <v/>
      </c>
      <c r="C46" s="14">
        <f>SUMIFS(Viajes!$K$2:$K$213,Viajes!$J$2:$J$213,A46,Viajes!$P$2:$P$213,TRUE)</f>
        <v/>
      </c>
      <c r="D46" s="14">
        <f>IFERROR(AVERAGEIFS(Viajes!$K$2:$K$213,Viajes!$J$2:$J$213,A46,Viajes!$K$2:$K$213,"&gt;0",Viajes!$P$2:$P$213,TRUE),0)</f>
        <v/>
      </c>
    </row>
  </sheetData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62" customWidth="1" min="3" max="3"/>
    <col width="18" customWidth="1" min="4" max="4"/>
    <col width="18" customWidth="1" min="5" max="5"/>
  </cols>
  <sheetData>
    <row r="1">
      <c r="A1" s="1" t="inlineStr">
        <is>
          <t>Neto por hora: rellena TUS datos en las celdas amarillas</t>
        </is>
      </c>
    </row>
    <row r="2">
      <c r="A2" s="5" t="inlineStr">
        <is>
          <t>Las capturas no muestran comisión ni costes, así que el neto no se puede calcular sin ti. No se ha inventado ningún coste: las celdas amarillas están vacías a propósito.</t>
        </is>
      </c>
    </row>
    <row r="3">
      <c r="A3" s="17" t="inlineStr">
        <is>
          <t>Concepto</t>
        </is>
      </c>
      <c r="B3" s="17" t="inlineStr">
        <is>
          <t>Valor</t>
        </is>
      </c>
      <c r="C3" s="17" t="inlineStr">
        <is>
          <t>Nota</t>
        </is>
      </c>
    </row>
    <row r="4">
      <c r="A4" s="3" t="inlineStr">
        <is>
          <t>€ brutos por hora de jornada (de los datos)</t>
        </is>
      </c>
      <c r="B4" s="18">
        <f>Resumen!B13</f>
        <v/>
      </c>
      <c r="C4" s="19" t="inlineStr">
        <is>
          <t>Fórmula: enlaza con la hoja Resumen</t>
        </is>
      </c>
    </row>
    <row r="5">
      <c r="A5" s="3" t="inlineStr">
        <is>
          <t>Horas por jornada (media de 7 jornadas)</t>
        </is>
      </c>
      <c r="B5" s="20">
        <f>AVERAGEIFS(Jornadas!$N$2:$N$9,Jornadas!$L$2:$L$9,FALSE)</f>
        <v/>
      </c>
      <c r="C5" s="19" t="inlineStr">
        <is>
          <t>Fórmula: hoja Jornadas</t>
        </is>
      </c>
    </row>
    <row r="6">
      <c r="A6" s="3" t="inlineStr">
        <is>
          <t>Días trabajados por semana (media)</t>
        </is>
      </c>
      <c r="B6" s="21">
        <f>Resumen!B5/6</f>
        <v/>
      </c>
      <c r="C6" s="19" t="inlineStr">
        <is>
          <t>26 días ÷ 6 semanas con actividad (la 41 está a medias: subestima un poco)</t>
        </is>
      </c>
    </row>
    <row r="7">
      <c r="A7" s="3" t="inlineStr">
        <is>
          <t>Horas por semana</t>
        </is>
      </c>
      <c r="B7" s="21">
        <f>B5*B6</f>
        <v/>
      </c>
      <c r="C7" s="19" t="inlineStr">
        <is>
          <t>Fórmula</t>
        </is>
      </c>
    </row>
    <row r="8">
      <c r="A8" s="3" t="inlineStr">
        <is>
          <t>% de lo facturado que te queda (tras comisión y reparto con la flota)</t>
        </is>
      </c>
      <c r="B8" s="22" t="n"/>
      <c r="C8" s="19" t="inlineStr">
        <is>
          <t>RELLENA (ej.: escribe 0,5 para 50 %)</t>
        </is>
      </c>
    </row>
    <row r="9">
      <c r="A9" s="3" t="inlineStr">
        <is>
          <t>Costes fijos por semana (alquiler, cuota, seguro…) en €</t>
        </is>
      </c>
      <c r="B9" s="23" t="n"/>
      <c r="C9" s="19" t="inlineStr">
        <is>
          <t>RELLENA (0 si no pagas)</t>
        </is>
      </c>
    </row>
    <row r="10">
      <c r="A10" s="3" t="inlineStr">
        <is>
          <t>Energía/combustible por hora en €</t>
        </is>
      </c>
      <c r="B10" s="23" t="n"/>
      <c r="C10" s="19" t="inlineStr">
        <is>
          <t>RELLENA (0 si lo paga la flota)</t>
        </is>
      </c>
    </row>
    <row r="11">
      <c r="A11" s="3" t="inlineStr">
        <is>
          <t>Otros costes por hora en €</t>
        </is>
      </c>
      <c r="B11" s="23" t="n"/>
      <c r="C11" s="19" t="inlineStr">
        <is>
          <t>RELLENA (0 si no hay)</t>
        </is>
      </c>
    </row>
    <row r="13">
      <c r="A13" s="4" t="inlineStr">
        <is>
          <t>NETO por hora (€)</t>
        </is>
      </c>
      <c r="B13" s="24">
        <f>IF(COUNT(B8:B11)&lt;4,"Rellena las 4 celdas amarillas",B4*B8-B9/B7-B10-B11)</f>
        <v/>
      </c>
    </row>
    <row r="14">
      <c r="A14" s="25" t="inlineStr">
        <is>
          <t>NETO por semana (€)</t>
        </is>
      </c>
      <c r="B14" s="18">
        <f>IF(ISNUMBER(B13),B13*B7,"")</f>
        <v/>
      </c>
    </row>
    <row r="17">
      <c r="A17" s="25" t="inlineStr">
        <is>
          <t>Tabla de escenarios HIPOTÉTICOS (no son datos): neto €/hora según % que te queda (filas) y costes fijos semanales (columnas), sin energía</t>
        </is>
      </c>
    </row>
    <row r="18">
      <c r="A18" s="25" t="inlineStr">
        <is>
          <t>% que te queda  \  costes fijos €/semana</t>
        </is>
      </c>
      <c r="B18" s="26" t="n">
        <v>0</v>
      </c>
      <c r="C18" s="26" t="n">
        <v>100</v>
      </c>
      <c r="D18" s="26" t="n">
        <v>200</v>
      </c>
      <c r="E18" s="26" t="n">
        <v>300</v>
      </c>
    </row>
    <row r="19">
      <c r="A19" s="27" t="n">
        <v>0.4</v>
      </c>
      <c r="B19" s="28">
        <f>$B$4*$A19-B$18/$B$7</f>
        <v/>
      </c>
      <c r="C19" s="28">
        <f>$B$4*$A19-C$18/$B$7</f>
        <v/>
      </c>
      <c r="D19" s="28">
        <f>$B$4*$A19-D$18/$B$7</f>
        <v/>
      </c>
      <c r="E19" s="28">
        <f>$B$4*$A19-E$18/$B$7</f>
        <v/>
      </c>
    </row>
    <row r="20">
      <c r="A20" s="27" t="n">
        <v>0.5</v>
      </c>
      <c r="B20" s="28">
        <f>$B$4*$A20-B$18/$B$7</f>
        <v/>
      </c>
      <c r="C20" s="28">
        <f>$B$4*$A20-C$18/$B$7</f>
        <v/>
      </c>
      <c r="D20" s="28">
        <f>$B$4*$A20-D$18/$B$7</f>
        <v/>
      </c>
      <c r="E20" s="28">
        <f>$B$4*$A20-E$18/$B$7</f>
        <v/>
      </c>
    </row>
    <row r="21">
      <c r="A21" s="27" t="n">
        <v>0.6</v>
      </c>
      <c r="B21" s="28">
        <f>$B$4*$A21-B$18/$B$7</f>
        <v/>
      </c>
      <c r="C21" s="28">
        <f>$B$4*$A21-C$18/$B$7</f>
        <v/>
      </c>
      <c r="D21" s="28">
        <f>$B$4*$A21-D$18/$B$7</f>
        <v/>
      </c>
      <c r="E21" s="28">
        <f>$B$4*$A21-E$18/$B$7</f>
        <v/>
      </c>
    </row>
    <row r="22">
      <c r="A22" s="27" t="n">
        <v>0.7</v>
      </c>
      <c r="B22" s="28">
        <f>$B$4*$A22-B$18/$B$7</f>
        <v/>
      </c>
      <c r="C22" s="28">
        <f>$B$4*$A22-C$18/$B$7</f>
        <v/>
      </c>
      <c r="D22" s="28">
        <f>$B$4*$A22-D$18/$B$7</f>
        <v/>
      </c>
      <c r="E22" s="28">
        <f>$B$4*$A22-E$18/$B$7</f>
        <v/>
      </c>
    </row>
    <row r="23">
      <c r="A23" s="27" t="n">
        <v>0.8</v>
      </c>
      <c r="B23" s="28">
        <f>$B$4*$A23-B$18/$B$7</f>
        <v/>
      </c>
      <c r="C23" s="28">
        <f>$B$4*$A23-C$18/$B$7</f>
        <v/>
      </c>
      <c r="D23" s="28">
        <f>$B$4*$A23-D$18/$B$7</f>
        <v/>
      </c>
      <c r="E23" s="28">
        <f>$B$4*$A23-E$18/$B$7</f>
        <v/>
      </c>
    </row>
    <row r="24">
      <c r="A24" s="27" t="n">
        <v>1</v>
      </c>
      <c r="B24" s="28">
        <f>$B$4*$A24-B$18/$B$7</f>
        <v/>
      </c>
      <c r="C24" s="28">
        <f>$B$4*$A24-C$18/$B$7</f>
        <v/>
      </c>
      <c r="D24" s="28">
        <f>$B$4*$A24-D$18/$B$7</f>
        <v/>
      </c>
      <c r="E24" s="28">
        <f>$B$4*$A24-E$18/$B$7</f>
        <v/>
      </c>
    </row>
    <row r="26">
      <c r="A26" s="5" t="inlineStr">
        <is>
          <t>Los valores de la cabecera de la tabla (texto azul) son supuestos para practicar; cámbialos si quieres.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F1:F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F1" s="5" t="inlineStr">
        <is>
          <t>Tabla dinámica: ingresos y nº de viajes por día de la semana. Filtro: dia_completo = VERDADERO.</t>
        </is>
      </c>
    </row>
    <row r="2">
      <c r="F2" s="5" t="inlineStr">
        <is>
          <t>Si sale vacía: pestaña Datos → Actualizar todo. Para practicar: arrastra otros campos en el panel de la derecha.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F1:F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F1" s="5" t="inlineStr">
        <is>
          <t>Tabla dinámica: viajes, ingresos e importe medio por franja horaria. Filtro: dia_completo = VERDADERO.</t>
        </is>
      </c>
    </row>
    <row r="2">
      <c r="F2" s="5" t="inlineStr">
        <is>
          <t>Si sale vacía: pestaña Datos → Actualizar todo. Para practicar: arrastra otros campos en el panel de la derecha.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F1:F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F1" s="5" t="inlineStr">
        <is>
          <t>Tabla dinámica: viajes, ingresos e importe medio por tipo de servicio (todos los viajes).</t>
        </is>
      </c>
    </row>
    <row r="2">
      <c r="F2" s="5" t="inlineStr">
        <is>
          <t>Si sale vacía: pestaña Datos → Actualizar todo. Para practicar: arrastra otros campos en el panel de la derecha.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F1:F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</cols>
  <sheetData>
    <row r="1">
      <c r="F1" s="5" t="inlineStr">
        <is>
          <t>Tabla dinámica: ingresos por mes y método de pago. Compárala con la app: sep 1.620,42 € app + 122,61 € efectivo; oct 394,87 € + 57,79 €.</t>
        </is>
      </c>
    </row>
    <row r="2">
      <c r="F2" s="5" t="inlineStr">
        <is>
          <t>Si sale vacía: pestaña Datos → Actualizar todo. Para practicar: arrastra otros campos en el panel de la derecha.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7" customWidth="1" min="3" max="3"/>
    <col width="9" customWidth="1" min="4" max="4"/>
    <col width="10" customWidth="1" min="5" max="5"/>
    <col width="11" customWidth="1" min="6" max="6"/>
    <col width="8" customWidth="1" min="7" max="7"/>
    <col width="8" customWidth="1" min="8" max="8"/>
    <col width="13" customWidth="1" min="9" max="9"/>
    <col width="18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2" customWidth="1" min="17" max="17"/>
  </cols>
  <sheetData>
    <row r="1">
      <c r="A1" s="25" t="inlineStr">
        <is>
          <t>id_viaje</t>
        </is>
      </c>
      <c r="B1" s="25" t="inlineStr">
        <is>
          <t>fecha</t>
        </is>
      </c>
      <c r="C1" s="25" t="inlineStr">
        <is>
          <t>hora</t>
        </is>
      </c>
      <c r="D1" s="25" t="inlineStr">
        <is>
          <t>mes</t>
        </is>
      </c>
      <c r="E1" s="25" t="inlineStr">
        <is>
          <t>semana_iso</t>
        </is>
      </c>
      <c r="F1" s="25" t="inlineStr">
        <is>
          <t>dia_semana</t>
        </is>
      </c>
      <c r="G1" s="25" t="inlineStr">
        <is>
          <t>num_dia_semana</t>
        </is>
      </c>
      <c r="H1" s="25" t="inlineStr">
        <is>
          <t>hora_del_dia</t>
        </is>
      </c>
      <c r="I1" s="25" t="inlineStr">
        <is>
          <t>franja_horaria</t>
        </is>
      </c>
      <c r="J1" s="25" t="inlineStr">
        <is>
          <t>producto</t>
        </is>
      </c>
      <c r="K1" s="25" t="inlineStr">
        <is>
          <t>importe_eur</t>
        </is>
      </c>
      <c r="L1" s="25" t="inlineStr">
        <is>
          <t>metodo_pago</t>
        </is>
      </c>
      <c r="M1" s="25" t="inlineStr">
        <is>
          <t>sin_ingreso</t>
        </is>
      </c>
      <c r="N1" s="25" t="inlineStr">
        <is>
          <t>importe_6_exactos</t>
        </is>
      </c>
      <c r="O1" s="25" t="inlineStr">
        <is>
          <t>es_aeropuerto</t>
        </is>
      </c>
      <c r="P1" s="25" t="inlineStr">
        <is>
          <t>dia_completo</t>
        </is>
      </c>
      <c r="Q1" s="25" t="inlineStr">
        <is>
          <t>es_primer_viaje_dia</t>
        </is>
      </c>
    </row>
    <row r="2">
      <c r="A2" s="3" t="inlineStr">
        <is>
          <t>V001</t>
        </is>
      </c>
      <c r="B2" s="29" t="n">
        <v>46265</v>
      </c>
      <c r="C2" s="3" t="inlineStr">
        <is>
          <t>21:23</t>
        </is>
      </c>
      <c r="D2" s="3" t="inlineStr">
        <is>
          <t>2026-08</t>
        </is>
      </c>
      <c r="E2" s="3" t="n">
        <v>36</v>
      </c>
      <c r="F2" s="3" t="inlineStr">
        <is>
          <t>lunes</t>
        </is>
      </c>
      <c r="G2" s="3" t="n">
        <v>0</v>
      </c>
      <c r="H2" s="3" t="n">
        <v>21</v>
      </c>
      <c r="I2" s="3" t="inlineStr">
        <is>
          <t>21:00-21:59</t>
        </is>
      </c>
      <c r="J2" s="3" t="inlineStr">
        <is>
          <t>VTC</t>
        </is>
      </c>
      <c r="K2" s="28" t="n">
        <v>8.890000000000001</v>
      </c>
      <c r="L2" s="3" t="inlineStr">
        <is>
          <t>app</t>
        </is>
      </c>
      <c r="M2" s="3" t="b">
        <v>0</v>
      </c>
      <c r="N2" s="3" t="b">
        <v>0</v>
      </c>
      <c r="O2" s="3" t="b">
        <v>0</v>
      </c>
      <c r="P2" s="3" t="b">
        <v>0</v>
      </c>
      <c r="Q2" s="3">
        <f>IF(COUNTIF($B$2:B2,B2)=1,1,0)</f>
        <v/>
      </c>
    </row>
    <row r="3">
      <c r="A3" s="3" t="inlineStr">
        <is>
          <t>V002</t>
        </is>
      </c>
      <c r="B3" s="29" t="n">
        <v>46265</v>
      </c>
      <c r="C3" s="3" t="inlineStr">
        <is>
          <t>21:39</t>
        </is>
      </c>
      <c r="D3" s="3" t="inlineStr">
        <is>
          <t>2026-08</t>
        </is>
      </c>
      <c r="E3" s="3" t="n">
        <v>36</v>
      </c>
      <c r="F3" s="3" t="inlineStr">
        <is>
          <t>lunes</t>
        </is>
      </c>
      <c r="G3" s="3" t="n">
        <v>0</v>
      </c>
      <c r="H3" s="3" t="n">
        <v>21</v>
      </c>
      <c r="I3" s="3" t="inlineStr">
        <is>
          <t>21:00-21:59</t>
        </is>
      </c>
      <c r="J3" s="3" t="inlineStr">
        <is>
          <t>VTC</t>
        </is>
      </c>
      <c r="K3" s="28" t="n">
        <v>8.15</v>
      </c>
      <c r="L3" s="3" t="inlineStr">
        <is>
          <t>app</t>
        </is>
      </c>
      <c r="M3" s="3" t="b">
        <v>0</v>
      </c>
      <c r="N3" s="3" t="b">
        <v>0</v>
      </c>
      <c r="O3" s="3" t="b">
        <v>0</v>
      </c>
      <c r="P3" s="3" t="b">
        <v>0</v>
      </c>
      <c r="Q3" s="3">
        <f>IF(COUNTIF($B$2:B3,B3)=1,1,0)</f>
        <v/>
      </c>
    </row>
    <row r="4">
      <c r="A4" s="3" t="inlineStr">
        <is>
          <t>V003</t>
        </is>
      </c>
      <c r="B4" s="29" t="n">
        <v>46265</v>
      </c>
      <c r="C4" s="3" t="inlineStr">
        <is>
          <t>21:59</t>
        </is>
      </c>
      <c r="D4" s="3" t="inlineStr">
        <is>
          <t>2026-08</t>
        </is>
      </c>
      <c r="E4" s="3" t="n">
        <v>36</v>
      </c>
      <c r="F4" s="3" t="inlineStr">
        <is>
          <t>lunes</t>
        </is>
      </c>
      <c r="G4" s="3" t="n">
        <v>0</v>
      </c>
      <c r="H4" s="3" t="n">
        <v>21</v>
      </c>
      <c r="I4" s="3" t="inlineStr">
        <is>
          <t>21:00-21:59</t>
        </is>
      </c>
      <c r="J4" s="3" t="inlineStr">
        <is>
          <t>VTC Prioritario</t>
        </is>
      </c>
      <c r="K4" s="28" t="n">
        <v>16.6</v>
      </c>
      <c r="L4" s="3" t="inlineStr">
        <is>
          <t>app</t>
        </is>
      </c>
      <c r="M4" s="3" t="b">
        <v>0</v>
      </c>
      <c r="N4" s="3" t="b">
        <v>0</v>
      </c>
      <c r="O4" s="3" t="b">
        <v>0</v>
      </c>
      <c r="P4" s="3" t="b">
        <v>0</v>
      </c>
      <c r="Q4" s="3">
        <f>IF(COUNTIF($B$2:B4,B4)=1,1,0)</f>
        <v/>
      </c>
    </row>
    <row r="5">
      <c r="A5" s="3" t="inlineStr">
        <is>
          <t>V004</t>
        </is>
      </c>
      <c r="B5" s="29" t="n">
        <v>46265</v>
      </c>
      <c r="C5" s="3" t="inlineStr">
        <is>
          <t>22:17</t>
        </is>
      </c>
      <c r="D5" s="3" t="inlineStr">
        <is>
          <t>2026-08</t>
        </is>
      </c>
      <c r="E5" s="3" t="n">
        <v>36</v>
      </c>
      <c r="F5" s="3" t="inlineStr">
        <is>
          <t>lunes</t>
        </is>
      </c>
      <c r="G5" s="3" t="n">
        <v>0</v>
      </c>
      <c r="H5" s="3" t="n">
        <v>22</v>
      </c>
      <c r="I5" s="3" t="inlineStr">
        <is>
          <t>22:00-22:59</t>
        </is>
      </c>
      <c r="J5" s="3" t="inlineStr">
        <is>
          <t>VTC</t>
        </is>
      </c>
      <c r="K5" s="28" t="n">
        <v>0</v>
      </c>
      <c r="L5" s="3" t="inlineStr">
        <is>
          <t>app</t>
        </is>
      </c>
      <c r="M5" s="3" t="b">
        <v>1</v>
      </c>
      <c r="N5" s="3" t="b">
        <v>0</v>
      </c>
      <c r="O5" s="3" t="b">
        <v>0</v>
      </c>
      <c r="P5" s="3" t="b">
        <v>0</v>
      </c>
      <c r="Q5" s="3">
        <f>IF(COUNTIF($B$2:B5,B5)=1,1,0)</f>
        <v/>
      </c>
    </row>
    <row r="6">
      <c r="A6" s="3" t="inlineStr">
        <is>
          <t>V005</t>
        </is>
      </c>
      <c r="B6" s="29" t="n">
        <v>46265</v>
      </c>
      <c r="C6" s="3" t="inlineStr">
        <is>
          <t>22:19</t>
        </is>
      </c>
      <c r="D6" s="3" t="inlineStr">
        <is>
          <t>2026-08</t>
        </is>
      </c>
      <c r="E6" s="3" t="n">
        <v>36</v>
      </c>
      <c r="F6" s="3" t="inlineStr">
        <is>
          <t>lunes</t>
        </is>
      </c>
      <c r="G6" s="3" t="n">
        <v>0</v>
      </c>
      <c r="H6" s="3" t="n">
        <v>22</v>
      </c>
      <c r="I6" s="3" t="inlineStr">
        <is>
          <t>22:00-22:59</t>
        </is>
      </c>
      <c r="J6" s="3" t="inlineStr">
        <is>
          <t>VTC</t>
        </is>
      </c>
      <c r="K6" s="28" t="n">
        <v>15.85</v>
      </c>
      <c r="L6" s="3" t="inlineStr">
        <is>
          <t>app</t>
        </is>
      </c>
      <c r="M6" s="3" t="b">
        <v>0</v>
      </c>
      <c r="N6" s="3" t="b">
        <v>0</v>
      </c>
      <c r="O6" s="3" t="b">
        <v>0</v>
      </c>
      <c r="P6" s="3" t="b">
        <v>0</v>
      </c>
      <c r="Q6" s="3">
        <f>IF(COUNTIF($B$2:B6,B6)=1,1,0)</f>
        <v/>
      </c>
    </row>
    <row r="7">
      <c r="A7" s="3" t="inlineStr">
        <is>
          <t>V006</t>
        </is>
      </c>
      <c r="B7" s="29" t="n">
        <v>46265</v>
      </c>
      <c r="C7" s="3" t="inlineStr">
        <is>
          <t>22:45</t>
        </is>
      </c>
      <c r="D7" s="3" t="inlineStr">
        <is>
          <t>2026-08</t>
        </is>
      </c>
      <c r="E7" s="3" t="n">
        <v>36</v>
      </c>
      <c r="F7" s="3" t="inlineStr">
        <is>
          <t>lunes</t>
        </is>
      </c>
      <c r="G7" s="3" t="n">
        <v>0</v>
      </c>
      <c r="H7" s="3" t="n">
        <v>22</v>
      </c>
      <c r="I7" s="3" t="inlineStr">
        <is>
          <t>22:00-22:59</t>
        </is>
      </c>
      <c r="J7" s="3" t="inlineStr">
        <is>
          <t>VTC Prioritario</t>
        </is>
      </c>
      <c r="K7" s="28" t="n">
        <v>10.71</v>
      </c>
      <c r="L7" s="3" t="inlineStr">
        <is>
          <t>app</t>
        </is>
      </c>
      <c r="M7" s="3" t="b">
        <v>0</v>
      </c>
      <c r="N7" s="3" t="b">
        <v>0</v>
      </c>
      <c r="O7" s="3" t="b">
        <v>0</v>
      </c>
      <c r="P7" s="3" t="b">
        <v>0</v>
      </c>
      <c r="Q7" s="3">
        <f>IF(COUNTIF($B$2:B7,B7)=1,1,0)</f>
        <v/>
      </c>
    </row>
    <row r="8">
      <c r="A8" s="3" t="inlineStr">
        <is>
          <t>V007</t>
        </is>
      </c>
      <c r="B8" s="29" t="n">
        <v>46265</v>
      </c>
      <c r="C8" s="3" t="inlineStr">
        <is>
          <t>23:13</t>
        </is>
      </c>
      <c r="D8" s="3" t="inlineStr">
        <is>
          <t>2026-08</t>
        </is>
      </c>
      <c r="E8" s="3" t="n">
        <v>36</v>
      </c>
      <c r="F8" s="3" t="inlineStr">
        <is>
          <t>lunes</t>
        </is>
      </c>
      <c r="G8" s="3" t="n">
        <v>0</v>
      </c>
      <c r="H8" s="3" t="n">
        <v>23</v>
      </c>
      <c r="I8" s="3" t="inlineStr">
        <is>
          <t>23:00-23:59</t>
        </is>
      </c>
      <c r="J8" s="3" t="inlineStr">
        <is>
          <t>VTC Prioritario</t>
        </is>
      </c>
      <c r="K8" s="28" t="n">
        <v>8.039999999999999</v>
      </c>
      <c r="L8" s="3" t="inlineStr">
        <is>
          <t>app</t>
        </is>
      </c>
      <c r="M8" s="3" t="b">
        <v>0</v>
      </c>
      <c r="N8" s="3" t="b">
        <v>0</v>
      </c>
      <c r="O8" s="3" t="b">
        <v>0</v>
      </c>
      <c r="P8" s="3" t="b">
        <v>0</v>
      </c>
      <c r="Q8" s="3">
        <f>IF(COUNTIF($B$2:B8,B8)=1,1,0)</f>
        <v/>
      </c>
    </row>
    <row r="9">
      <c r="A9" s="3" t="inlineStr">
        <is>
          <t>V008</t>
        </is>
      </c>
      <c r="B9" s="29" t="n">
        <v>46265</v>
      </c>
      <c r="C9" s="3" t="inlineStr">
        <is>
          <t>23:26</t>
        </is>
      </c>
      <c r="D9" s="3" t="inlineStr">
        <is>
          <t>2026-08</t>
        </is>
      </c>
      <c r="E9" s="3" t="n">
        <v>36</v>
      </c>
      <c r="F9" s="3" t="inlineStr">
        <is>
          <t>lunes</t>
        </is>
      </c>
      <c r="G9" s="3" t="n">
        <v>0</v>
      </c>
      <c r="H9" s="3" t="n">
        <v>23</v>
      </c>
      <c r="I9" s="3" t="inlineStr">
        <is>
          <t>23:00-23:59</t>
        </is>
      </c>
      <c r="J9" s="3" t="inlineStr">
        <is>
          <t>VTC Airport</t>
        </is>
      </c>
      <c r="K9" s="28" t="n">
        <v>16.03</v>
      </c>
      <c r="L9" s="3" t="inlineStr">
        <is>
          <t>app</t>
        </is>
      </c>
      <c r="M9" s="3" t="b">
        <v>0</v>
      </c>
      <c r="N9" s="3" t="b">
        <v>0</v>
      </c>
      <c r="O9" s="3" t="b">
        <v>1</v>
      </c>
      <c r="P9" s="3" t="b">
        <v>0</v>
      </c>
      <c r="Q9" s="3">
        <f>IF(COUNTIF($B$2:B9,B9)=1,1,0)</f>
        <v/>
      </c>
    </row>
    <row r="10">
      <c r="A10" s="3" t="inlineStr">
        <is>
          <t>V009</t>
        </is>
      </c>
      <c r="B10" s="29" t="n">
        <v>46266</v>
      </c>
      <c r="C10" s="3" t="inlineStr">
        <is>
          <t>08:10</t>
        </is>
      </c>
      <c r="D10" s="3" t="inlineStr">
        <is>
          <t>2026-09</t>
        </is>
      </c>
      <c r="E10" s="3" t="n">
        <v>36</v>
      </c>
      <c r="F10" s="3" t="inlineStr">
        <is>
          <t>martes</t>
        </is>
      </c>
      <c r="G10" s="3" t="n">
        <v>1</v>
      </c>
      <c r="H10" s="3" t="n">
        <v>8</v>
      </c>
      <c r="I10" s="3" t="inlineStr">
        <is>
          <t>08:00-08:59</t>
        </is>
      </c>
      <c r="J10" s="3" t="inlineStr">
        <is>
          <t>Electric</t>
        </is>
      </c>
      <c r="K10" s="28" t="n">
        <v>12.73</v>
      </c>
      <c r="L10" s="3" t="inlineStr">
        <is>
          <t>app</t>
        </is>
      </c>
      <c r="M10" s="3" t="b">
        <v>0</v>
      </c>
      <c r="N10" s="3" t="b">
        <v>0</v>
      </c>
      <c r="O10" s="3" t="b">
        <v>0</v>
      </c>
      <c r="P10" s="3" t="b">
        <v>1</v>
      </c>
      <c r="Q10" s="3">
        <f>IF(COUNTIF($B$2:B10,B10)=1,1,0)</f>
        <v/>
      </c>
    </row>
    <row r="11">
      <c r="A11" s="3" t="inlineStr">
        <is>
          <t>V010</t>
        </is>
      </c>
      <c r="B11" s="29" t="n">
        <v>46266</v>
      </c>
      <c r="C11" s="3" t="inlineStr">
        <is>
          <t>08:43</t>
        </is>
      </c>
      <c r="D11" s="3" t="inlineStr">
        <is>
          <t>2026-09</t>
        </is>
      </c>
      <c r="E11" s="3" t="n">
        <v>36</v>
      </c>
      <c r="F11" s="3" t="inlineStr">
        <is>
          <t>martes</t>
        </is>
      </c>
      <c r="G11" s="3" t="n">
        <v>1</v>
      </c>
      <c r="H11" s="3" t="n">
        <v>8</v>
      </c>
      <c r="I11" s="3" t="inlineStr">
        <is>
          <t>08:00-08:59</t>
        </is>
      </c>
      <c r="J11" s="3" t="inlineStr">
        <is>
          <t>VTC Prioritario</t>
        </is>
      </c>
      <c r="K11" s="28" t="n">
        <v>16.91</v>
      </c>
      <c r="L11" s="3" t="inlineStr">
        <is>
          <t>app</t>
        </is>
      </c>
      <c r="M11" s="3" t="b">
        <v>0</v>
      </c>
      <c r="N11" s="3" t="b">
        <v>0</v>
      </c>
      <c r="O11" s="3" t="b">
        <v>0</v>
      </c>
      <c r="P11" s="3" t="b">
        <v>1</v>
      </c>
      <c r="Q11" s="3">
        <f>IF(COUNTIF($B$2:B11,B11)=1,1,0)</f>
        <v/>
      </c>
    </row>
    <row r="12">
      <c r="A12" s="3" t="inlineStr">
        <is>
          <t>V011</t>
        </is>
      </c>
      <c r="B12" s="29" t="n">
        <v>46266</v>
      </c>
      <c r="C12" s="3" t="inlineStr">
        <is>
          <t>09:18</t>
        </is>
      </c>
      <c r="D12" s="3" t="inlineStr">
        <is>
          <t>2026-09</t>
        </is>
      </c>
      <c r="E12" s="3" t="n">
        <v>36</v>
      </c>
      <c r="F12" s="3" t="inlineStr">
        <is>
          <t>martes</t>
        </is>
      </c>
      <c r="G12" s="3" t="n">
        <v>1</v>
      </c>
      <c r="H12" s="3" t="n">
        <v>9</v>
      </c>
      <c r="I12" s="3" t="inlineStr">
        <is>
          <t>09:00-09:59</t>
        </is>
      </c>
      <c r="J12" s="3" t="inlineStr">
        <is>
          <t>Envíos en coche</t>
        </is>
      </c>
      <c r="K12" s="28" t="n">
        <v>14.62</v>
      </c>
      <c r="L12" s="3" t="inlineStr">
        <is>
          <t>app</t>
        </is>
      </c>
      <c r="M12" s="3" t="b">
        <v>0</v>
      </c>
      <c r="N12" s="3" t="b">
        <v>0</v>
      </c>
      <c r="O12" s="3" t="b">
        <v>0</v>
      </c>
      <c r="P12" s="3" t="b">
        <v>1</v>
      </c>
      <c r="Q12" s="3">
        <f>IF(COUNTIF($B$2:B12,B12)=1,1,0)</f>
        <v/>
      </c>
    </row>
    <row r="13">
      <c r="A13" s="3" t="inlineStr">
        <is>
          <t>V012</t>
        </is>
      </c>
      <c r="B13" s="29" t="n">
        <v>46266</v>
      </c>
      <c r="C13" s="3" t="inlineStr">
        <is>
          <t>09:51</t>
        </is>
      </c>
      <c r="D13" s="3" t="inlineStr">
        <is>
          <t>2026-09</t>
        </is>
      </c>
      <c r="E13" s="3" t="n">
        <v>36</v>
      </c>
      <c r="F13" s="3" t="inlineStr">
        <is>
          <t>martes</t>
        </is>
      </c>
      <c r="G13" s="3" t="n">
        <v>1</v>
      </c>
      <c r="H13" s="3" t="n">
        <v>9</v>
      </c>
      <c r="I13" s="3" t="inlineStr">
        <is>
          <t>09:00-09:59</t>
        </is>
      </c>
      <c r="J13" s="3" t="inlineStr">
        <is>
          <t>VTC</t>
        </is>
      </c>
      <c r="K13" s="28" t="n">
        <v>13.18</v>
      </c>
      <c r="L13" s="3" t="inlineStr">
        <is>
          <t>app</t>
        </is>
      </c>
      <c r="M13" s="3" t="b">
        <v>0</v>
      </c>
      <c r="N13" s="3" t="b">
        <v>0</v>
      </c>
      <c r="O13" s="3" t="b">
        <v>0</v>
      </c>
      <c r="P13" s="3" t="b">
        <v>1</v>
      </c>
      <c r="Q13" s="3">
        <f>IF(COUNTIF($B$2:B13,B13)=1,1,0)</f>
        <v/>
      </c>
    </row>
    <row r="14">
      <c r="A14" s="3" t="inlineStr">
        <is>
          <t>V013</t>
        </is>
      </c>
      <c r="B14" s="29" t="n">
        <v>46266</v>
      </c>
      <c r="C14" s="3" t="inlineStr">
        <is>
          <t>10:17</t>
        </is>
      </c>
      <c r="D14" s="3" t="inlineStr">
        <is>
          <t>2026-09</t>
        </is>
      </c>
      <c r="E14" s="3" t="n">
        <v>36</v>
      </c>
      <c r="F14" s="3" t="inlineStr">
        <is>
          <t>martes</t>
        </is>
      </c>
      <c r="G14" s="3" t="n">
        <v>1</v>
      </c>
      <c r="H14" s="3" t="n">
        <v>10</v>
      </c>
      <c r="I14" s="3" t="inlineStr">
        <is>
          <t>10:00-10:59</t>
        </is>
      </c>
      <c r="J14" s="3" t="inlineStr">
        <is>
          <t>VTC</t>
        </is>
      </c>
      <c r="K14" s="28" t="n">
        <v>9.34</v>
      </c>
      <c r="L14" s="3" t="inlineStr">
        <is>
          <t>app</t>
        </is>
      </c>
      <c r="M14" s="3" t="b">
        <v>0</v>
      </c>
      <c r="N14" s="3" t="b">
        <v>0</v>
      </c>
      <c r="O14" s="3" t="b">
        <v>0</v>
      </c>
      <c r="P14" s="3" t="b">
        <v>1</v>
      </c>
      <c r="Q14" s="3">
        <f>IF(COUNTIF($B$2:B14,B14)=1,1,0)</f>
        <v/>
      </c>
    </row>
    <row r="15">
      <c r="A15" s="3" t="inlineStr">
        <is>
          <t>V014</t>
        </is>
      </c>
      <c r="B15" s="29" t="n">
        <v>46266</v>
      </c>
      <c r="C15" s="3" t="inlineStr">
        <is>
          <t>10:58</t>
        </is>
      </c>
      <c r="D15" s="3" t="inlineStr">
        <is>
          <t>2026-09</t>
        </is>
      </c>
      <c r="E15" s="3" t="n">
        <v>36</v>
      </c>
      <c r="F15" s="3" t="inlineStr">
        <is>
          <t>martes</t>
        </is>
      </c>
      <c r="G15" s="3" t="n">
        <v>1</v>
      </c>
      <c r="H15" s="3" t="n">
        <v>10</v>
      </c>
      <c r="I15" s="3" t="inlineStr">
        <is>
          <t>10:00-10:59</t>
        </is>
      </c>
      <c r="J15" s="3" t="inlineStr">
        <is>
          <t>VTC</t>
        </is>
      </c>
      <c r="K15" s="28" t="n">
        <v>6</v>
      </c>
      <c r="L15" s="3" t="inlineStr">
        <is>
          <t>app</t>
        </is>
      </c>
      <c r="M15" s="3" t="b">
        <v>0</v>
      </c>
      <c r="N15" s="3" t="b">
        <v>1</v>
      </c>
      <c r="O15" s="3" t="b">
        <v>0</v>
      </c>
      <c r="P15" s="3" t="b">
        <v>1</v>
      </c>
      <c r="Q15" s="3">
        <f>IF(COUNTIF($B$2:B15,B15)=1,1,0)</f>
        <v/>
      </c>
    </row>
    <row r="16">
      <c r="A16" s="3" t="inlineStr">
        <is>
          <t>V015</t>
        </is>
      </c>
      <c r="B16" s="29" t="n">
        <v>46267</v>
      </c>
      <c r="C16" s="3" t="inlineStr">
        <is>
          <t>08:24</t>
        </is>
      </c>
      <c r="D16" s="3" t="inlineStr">
        <is>
          <t>2026-09</t>
        </is>
      </c>
      <c r="E16" s="3" t="n">
        <v>36</v>
      </c>
      <c r="F16" s="3" t="inlineStr">
        <is>
          <t>miércoles</t>
        </is>
      </c>
      <c r="G16" s="3" t="n">
        <v>2</v>
      </c>
      <c r="H16" s="3" t="n">
        <v>8</v>
      </c>
      <c r="I16" s="3" t="inlineStr">
        <is>
          <t>08:00-08:59</t>
        </is>
      </c>
      <c r="J16" s="3" t="inlineStr">
        <is>
          <t>VTC</t>
        </is>
      </c>
      <c r="K16" s="28" t="n">
        <v>15.63</v>
      </c>
      <c r="L16" s="3" t="inlineStr">
        <is>
          <t>app</t>
        </is>
      </c>
      <c r="M16" s="3" t="b">
        <v>0</v>
      </c>
      <c r="N16" s="3" t="b">
        <v>0</v>
      </c>
      <c r="O16" s="3" t="b">
        <v>0</v>
      </c>
      <c r="P16" s="3" t="b">
        <v>1</v>
      </c>
      <c r="Q16" s="3">
        <f>IF(COUNTIF($B$2:B16,B16)=1,1,0)</f>
        <v/>
      </c>
    </row>
    <row r="17">
      <c r="A17" s="3" t="inlineStr">
        <is>
          <t>V016</t>
        </is>
      </c>
      <c r="B17" s="29" t="n">
        <v>46267</v>
      </c>
      <c r="C17" s="3" t="inlineStr">
        <is>
          <t>08:55</t>
        </is>
      </c>
      <c r="D17" s="3" t="inlineStr">
        <is>
          <t>2026-09</t>
        </is>
      </c>
      <c r="E17" s="3" t="n">
        <v>36</v>
      </c>
      <c r="F17" s="3" t="inlineStr">
        <is>
          <t>miércoles</t>
        </is>
      </c>
      <c r="G17" s="3" t="n">
        <v>2</v>
      </c>
      <c r="H17" s="3" t="n">
        <v>8</v>
      </c>
      <c r="I17" s="3" t="inlineStr">
        <is>
          <t>08:00-08:59</t>
        </is>
      </c>
      <c r="J17" s="3" t="inlineStr">
        <is>
          <t>VTC Eco</t>
        </is>
      </c>
      <c r="K17" s="28" t="n">
        <v>12.18</v>
      </c>
      <c r="L17" s="3" t="inlineStr">
        <is>
          <t>app</t>
        </is>
      </c>
      <c r="M17" s="3" t="b">
        <v>0</v>
      </c>
      <c r="N17" s="3" t="b">
        <v>0</v>
      </c>
      <c r="O17" s="3" t="b">
        <v>0</v>
      </c>
      <c r="P17" s="3" t="b">
        <v>1</v>
      </c>
      <c r="Q17" s="3">
        <f>IF(COUNTIF($B$2:B17,B17)=1,1,0)</f>
        <v/>
      </c>
    </row>
    <row r="18">
      <c r="A18" s="3" t="inlineStr">
        <is>
          <t>V017</t>
        </is>
      </c>
      <c r="B18" s="29" t="n">
        <v>46267</v>
      </c>
      <c r="C18" s="3" t="inlineStr">
        <is>
          <t>10:26</t>
        </is>
      </c>
      <c r="D18" s="3" t="inlineStr">
        <is>
          <t>2026-09</t>
        </is>
      </c>
      <c r="E18" s="3" t="n">
        <v>36</v>
      </c>
      <c r="F18" s="3" t="inlineStr">
        <is>
          <t>miércoles</t>
        </is>
      </c>
      <c r="G18" s="3" t="n">
        <v>2</v>
      </c>
      <c r="H18" s="3" t="n">
        <v>10</v>
      </c>
      <c r="I18" s="3" t="inlineStr">
        <is>
          <t>10:00-10:59</t>
        </is>
      </c>
      <c r="J18" s="3" t="inlineStr">
        <is>
          <t>VTC</t>
        </is>
      </c>
      <c r="K18" s="28" t="n">
        <v>9.109999999999999</v>
      </c>
      <c r="L18" s="3" t="inlineStr">
        <is>
          <t>app</t>
        </is>
      </c>
      <c r="M18" s="3" t="b">
        <v>0</v>
      </c>
      <c r="N18" s="3" t="b">
        <v>0</v>
      </c>
      <c r="O18" s="3" t="b">
        <v>0</v>
      </c>
      <c r="P18" s="3" t="b">
        <v>1</v>
      </c>
      <c r="Q18" s="3">
        <f>IF(COUNTIF($B$2:B18,B18)=1,1,0)</f>
        <v/>
      </c>
    </row>
    <row r="19">
      <c r="A19" s="3" t="inlineStr">
        <is>
          <t>V018</t>
        </is>
      </c>
      <c r="B19" s="29" t="n">
        <v>46267</v>
      </c>
      <c r="C19" s="3" t="inlineStr">
        <is>
          <t>11:25</t>
        </is>
      </c>
      <c r="D19" s="3" t="inlineStr">
        <is>
          <t>2026-09</t>
        </is>
      </c>
      <c r="E19" s="3" t="n">
        <v>36</v>
      </c>
      <c r="F19" s="3" t="inlineStr">
        <is>
          <t>miércoles</t>
        </is>
      </c>
      <c r="G19" s="3" t="n">
        <v>2</v>
      </c>
      <c r="H19" s="3" t="n">
        <v>11</v>
      </c>
      <c r="I19" s="3" t="inlineStr">
        <is>
          <t>11:00-11:59</t>
        </is>
      </c>
      <c r="J19" s="3" t="inlineStr">
        <is>
          <t>VTC Airport</t>
        </is>
      </c>
      <c r="K19" s="28" t="n">
        <v>13.76</v>
      </c>
      <c r="L19" s="3" t="inlineStr">
        <is>
          <t>app</t>
        </is>
      </c>
      <c r="M19" s="3" t="b">
        <v>0</v>
      </c>
      <c r="N19" s="3" t="b">
        <v>0</v>
      </c>
      <c r="O19" s="3" t="b">
        <v>1</v>
      </c>
      <c r="P19" s="3" t="b">
        <v>1</v>
      </c>
      <c r="Q19" s="3">
        <f>IF(COUNTIF($B$2:B19,B19)=1,1,0)</f>
        <v/>
      </c>
    </row>
    <row r="20">
      <c r="A20" s="3" t="inlineStr">
        <is>
          <t>V019</t>
        </is>
      </c>
      <c r="B20" s="29" t="n">
        <v>46267</v>
      </c>
      <c r="C20" s="3" t="inlineStr">
        <is>
          <t>11:46</t>
        </is>
      </c>
      <c r="D20" s="3" t="inlineStr">
        <is>
          <t>2026-09</t>
        </is>
      </c>
      <c r="E20" s="3" t="n">
        <v>36</v>
      </c>
      <c r="F20" s="3" t="inlineStr">
        <is>
          <t>miércoles</t>
        </is>
      </c>
      <c r="G20" s="3" t="n">
        <v>2</v>
      </c>
      <c r="H20" s="3" t="n">
        <v>11</v>
      </c>
      <c r="I20" s="3" t="inlineStr">
        <is>
          <t>11:00-11:59</t>
        </is>
      </c>
      <c r="J20" s="3" t="inlineStr">
        <is>
          <t>VTC Airport</t>
        </is>
      </c>
      <c r="K20" s="28" t="n">
        <v>21.96</v>
      </c>
      <c r="L20" s="3" t="inlineStr">
        <is>
          <t>app</t>
        </is>
      </c>
      <c r="M20" s="3" t="b">
        <v>0</v>
      </c>
      <c r="N20" s="3" t="b">
        <v>0</v>
      </c>
      <c r="O20" s="3" t="b">
        <v>1</v>
      </c>
      <c r="P20" s="3" t="b">
        <v>1</v>
      </c>
      <c r="Q20" s="3">
        <f>IF(COUNTIF($B$2:B20,B20)=1,1,0)</f>
        <v/>
      </c>
    </row>
    <row r="21">
      <c r="A21" s="3" t="inlineStr">
        <is>
          <t>V020</t>
        </is>
      </c>
      <c r="B21" s="29" t="n">
        <v>46268</v>
      </c>
      <c r="C21" s="3" t="inlineStr">
        <is>
          <t>06:24</t>
        </is>
      </c>
      <c r="D21" s="3" t="inlineStr">
        <is>
          <t>2026-09</t>
        </is>
      </c>
      <c r="E21" s="3" t="n">
        <v>36</v>
      </c>
      <c r="F21" s="3" t="inlineStr">
        <is>
          <t>jueves</t>
        </is>
      </c>
      <c r="G21" s="3" t="n">
        <v>3</v>
      </c>
      <c r="H21" s="3" t="n">
        <v>6</v>
      </c>
      <c r="I21" s="3" t="inlineStr">
        <is>
          <t>06:00-06:59</t>
        </is>
      </c>
      <c r="J21" s="3" t="inlineStr">
        <is>
          <t>VTC</t>
        </is>
      </c>
      <c r="K21" s="28" t="n">
        <v>15.65</v>
      </c>
      <c r="L21" s="3" t="inlineStr">
        <is>
          <t>app</t>
        </is>
      </c>
      <c r="M21" s="3" t="b">
        <v>0</v>
      </c>
      <c r="N21" s="3" t="b">
        <v>0</v>
      </c>
      <c r="O21" s="3" t="b">
        <v>0</v>
      </c>
      <c r="P21" s="3" t="b">
        <v>1</v>
      </c>
      <c r="Q21" s="3">
        <f>IF(COUNTIF($B$2:B21,B21)=1,1,0)</f>
        <v/>
      </c>
    </row>
    <row r="22">
      <c r="A22" s="3" t="inlineStr">
        <is>
          <t>V021</t>
        </is>
      </c>
      <c r="B22" s="29" t="n">
        <v>46268</v>
      </c>
      <c r="C22" s="3" t="inlineStr">
        <is>
          <t>07:39</t>
        </is>
      </c>
      <c r="D22" s="3" t="inlineStr">
        <is>
          <t>2026-09</t>
        </is>
      </c>
      <c r="E22" s="3" t="n">
        <v>36</v>
      </c>
      <c r="F22" s="3" t="inlineStr">
        <is>
          <t>jueves</t>
        </is>
      </c>
      <c r="G22" s="3" t="n">
        <v>3</v>
      </c>
      <c r="H22" s="3" t="n">
        <v>7</v>
      </c>
      <c r="I22" s="3" t="inlineStr">
        <is>
          <t>07:00-07:59</t>
        </is>
      </c>
      <c r="J22" s="3" t="inlineStr">
        <is>
          <t>VTC</t>
        </is>
      </c>
      <c r="K22" s="28" t="n">
        <v>19.65</v>
      </c>
      <c r="L22" s="3" t="inlineStr">
        <is>
          <t>app</t>
        </is>
      </c>
      <c r="M22" s="3" t="b">
        <v>0</v>
      </c>
      <c r="N22" s="3" t="b">
        <v>0</v>
      </c>
      <c r="O22" s="3" t="b">
        <v>0</v>
      </c>
      <c r="P22" s="3" t="b">
        <v>1</v>
      </c>
      <c r="Q22" s="3">
        <f>IF(COUNTIF($B$2:B22,B22)=1,1,0)</f>
        <v/>
      </c>
    </row>
    <row r="23">
      <c r="A23" s="3" t="inlineStr">
        <is>
          <t>V022</t>
        </is>
      </c>
      <c r="B23" s="29" t="n">
        <v>46268</v>
      </c>
      <c r="C23" s="3" t="inlineStr">
        <is>
          <t>08:39</t>
        </is>
      </c>
      <c r="D23" s="3" t="inlineStr">
        <is>
          <t>2026-09</t>
        </is>
      </c>
      <c r="E23" s="3" t="n">
        <v>36</v>
      </c>
      <c r="F23" s="3" t="inlineStr">
        <is>
          <t>jueves</t>
        </is>
      </c>
      <c r="G23" s="3" t="n">
        <v>3</v>
      </c>
      <c r="H23" s="3" t="n">
        <v>8</v>
      </c>
      <c r="I23" s="3" t="inlineStr">
        <is>
          <t>08:00-08:59</t>
        </is>
      </c>
      <c r="J23" s="3" t="inlineStr">
        <is>
          <t>VTC</t>
        </is>
      </c>
      <c r="K23" s="28" t="n">
        <v>7.08</v>
      </c>
      <c r="L23" s="3" t="inlineStr">
        <is>
          <t>app</t>
        </is>
      </c>
      <c r="M23" s="3" t="b">
        <v>0</v>
      </c>
      <c r="N23" s="3" t="b">
        <v>0</v>
      </c>
      <c r="O23" s="3" t="b">
        <v>0</v>
      </c>
      <c r="P23" s="3" t="b">
        <v>1</v>
      </c>
      <c r="Q23" s="3">
        <f>IF(COUNTIF($B$2:B23,B23)=1,1,0)</f>
        <v/>
      </c>
    </row>
    <row r="24">
      <c r="A24" s="3" t="inlineStr">
        <is>
          <t>V023</t>
        </is>
      </c>
      <c r="B24" s="29" t="n">
        <v>46268</v>
      </c>
      <c r="C24" s="3" t="inlineStr">
        <is>
          <t>09:24</t>
        </is>
      </c>
      <c r="D24" s="3" t="inlineStr">
        <is>
          <t>2026-09</t>
        </is>
      </c>
      <c r="E24" s="3" t="n">
        <v>36</v>
      </c>
      <c r="F24" s="3" t="inlineStr">
        <is>
          <t>jueves</t>
        </is>
      </c>
      <c r="G24" s="3" t="n">
        <v>3</v>
      </c>
      <c r="H24" s="3" t="n">
        <v>9</v>
      </c>
      <c r="I24" s="3" t="inlineStr">
        <is>
          <t>09:00-09:59</t>
        </is>
      </c>
      <c r="J24" s="3" t="inlineStr">
        <is>
          <t>VTC Eco</t>
        </is>
      </c>
      <c r="K24" s="28" t="n">
        <v>10.11</v>
      </c>
      <c r="L24" s="3" t="inlineStr">
        <is>
          <t>app</t>
        </is>
      </c>
      <c r="M24" s="3" t="b">
        <v>0</v>
      </c>
      <c r="N24" s="3" t="b">
        <v>0</v>
      </c>
      <c r="O24" s="3" t="b">
        <v>0</v>
      </c>
      <c r="P24" s="3" t="b">
        <v>1</v>
      </c>
      <c r="Q24" s="3">
        <f>IF(COUNTIF($B$2:B24,B24)=1,1,0)</f>
        <v/>
      </c>
    </row>
    <row r="25">
      <c r="A25" s="3" t="inlineStr">
        <is>
          <t>V024</t>
        </is>
      </c>
      <c r="B25" s="29" t="n">
        <v>46268</v>
      </c>
      <c r="C25" s="3" t="inlineStr">
        <is>
          <t>09:43</t>
        </is>
      </c>
      <c r="D25" s="3" t="inlineStr">
        <is>
          <t>2026-09</t>
        </is>
      </c>
      <c r="E25" s="3" t="n">
        <v>36</v>
      </c>
      <c r="F25" s="3" t="inlineStr">
        <is>
          <t>jueves</t>
        </is>
      </c>
      <c r="G25" s="3" t="n">
        <v>3</v>
      </c>
      <c r="H25" s="3" t="n">
        <v>9</v>
      </c>
      <c r="I25" s="3" t="inlineStr">
        <is>
          <t>09:00-09:59</t>
        </is>
      </c>
      <c r="J25" s="3" t="inlineStr">
        <is>
          <t>VTC</t>
        </is>
      </c>
      <c r="K25" s="28" t="n">
        <v>17.29</v>
      </c>
      <c r="L25" s="3" t="inlineStr">
        <is>
          <t>app</t>
        </is>
      </c>
      <c r="M25" s="3" t="b">
        <v>0</v>
      </c>
      <c r="N25" s="3" t="b">
        <v>0</v>
      </c>
      <c r="O25" s="3" t="b">
        <v>0</v>
      </c>
      <c r="P25" s="3" t="b">
        <v>1</v>
      </c>
      <c r="Q25" s="3">
        <f>IF(COUNTIF($B$2:B25,B25)=1,1,0)</f>
        <v/>
      </c>
    </row>
    <row r="26">
      <c r="A26" s="3" t="inlineStr">
        <is>
          <t>V025</t>
        </is>
      </c>
      <c r="B26" s="29" t="n">
        <v>46268</v>
      </c>
      <c r="C26" s="3" t="inlineStr">
        <is>
          <t>10:15</t>
        </is>
      </c>
      <c r="D26" s="3" t="inlineStr">
        <is>
          <t>2026-09</t>
        </is>
      </c>
      <c r="E26" s="3" t="n">
        <v>36</v>
      </c>
      <c r="F26" s="3" t="inlineStr">
        <is>
          <t>jueves</t>
        </is>
      </c>
      <c r="G26" s="3" t="n">
        <v>3</v>
      </c>
      <c r="H26" s="3" t="n">
        <v>10</v>
      </c>
      <c r="I26" s="3" t="inlineStr">
        <is>
          <t>10:00-10:59</t>
        </is>
      </c>
      <c r="J26" s="3" t="inlineStr">
        <is>
          <t>Electric</t>
        </is>
      </c>
      <c r="K26" s="28" t="n">
        <v>9.699999999999999</v>
      </c>
      <c r="L26" s="3" t="inlineStr">
        <is>
          <t>app</t>
        </is>
      </c>
      <c r="M26" s="3" t="b">
        <v>0</v>
      </c>
      <c r="N26" s="3" t="b">
        <v>0</v>
      </c>
      <c r="O26" s="3" t="b">
        <v>0</v>
      </c>
      <c r="P26" s="3" t="b">
        <v>1</v>
      </c>
      <c r="Q26" s="3">
        <f>IF(COUNTIF($B$2:B26,B26)=1,1,0)</f>
        <v/>
      </c>
    </row>
    <row r="27">
      <c r="A27" s="3" t="inlineStr">
        <is>
          <t>V026</t>
        </is>
      </c>
      <c r="B27" s="29" t="n">
        <v>46268</v>
      </c>
      <c r="C27" s="3" t="inlineStr">
        <is>
          <t>10:42</t>
        </is>
      </c>
      <c r="D27" s="3" t="inlineStr">
        <is>
          <t>2026-09</t>
        </is>
      </c>
      <c r="E27" s="3" t="n">
        <v>36</v>
      </c>
      <c r="F27" s="3" t="inlineStr">
        <is>
          <t>jueves</t>
        </is>
      </c>
      <c r="G27" s="3" t="n">
        <v>3</v>
      </c>
      <c r="H27" s="3" t="n">
        <v>10</v>
      </c>
      <c r="I27" s="3" t="inlineStr">
        <is>
          <t>10:00-10:59</t>
        </is>
      </c>
      <c r="J27" s="3" t="inlineStr">
        <is>
          <t>VTC</t>
        </is>
      </c>
      <c r="K27" s="28" t="n">
        <v>6</v>
      </c>
      <c r="L27" s="3" t="inlineStr">
        <is>
          <t>app</t>
        </is>
      </c>
      <c r="M27" s="3" t="b">
        <v>0</v>
      </c>
      <c r="N27" s="3" t="b">
        <v>1</v>
      </c>
      <c r="O27" s="3" t="b">
        <v>0</v>
      </c>
      <c r="P27" s="3" t="b">
        <v>1</v>
      </c>
      <c r="Q27" s="3">
        <f>IF(COUNTIF($B$2:B27,B27)=1,1,0)</f>
        <v/>
      </c>
    </row>
    <row r="28">
      <c r="A28" s="3" t="inlineStr">
        <is>
          <t>V027</t>
        </is>
      </c>
      <c r="B28" s="29" t="n">
        <v>46269</v>
      </c>
      <c r="C28" s="3" t="inlineStr">
        <is>
          <t>07:07</t>
        </is>
      </c>
      <c r="D28" s="3" t="inlineStr">
        <is>
          <t>2026-09</t>
        </is>
      </c>
      <c r="E28" s="3" t="n">
        <v>36</v>
      </c>
      <c r="F28" s="3" t="inlineStr">
        <is>
          <t>viernes</t>
        </is>
      </c>
      <c r="G28" s="3" t="n">
        <v>4</v>
      </c>
      <c r="H28" s="3" t="n">
        <v>7</v>
      </c>
      <c r="I28" s="3" t="inlineStr">
        <is>
          <t>07:00-07:59</t>
        </is>
      </c>
      <c r="J28" s="3" t="inlineStr">
        <is>
          <t>VTC</t>
        </is>
      </c>
      <c r="K28" s="28" t="n">
        <v>8.74</v>
      </c>
      <c r="L28" s="3" t="inlineStr">
        <is>
          <t>app</t>
        </is>
      </c>
      <c r="M28" s="3" t="b">
        <v>0</v>
      </c>
      <c r="N28" s="3" t="b">
        <v>0</v>
      </c>
      <c r="O28" s="3" t="b">
        <v>0</v>
      </c>
      <c r="P28" s="3" t="b">
        <v>1</v>
      </c>
      <c r="Q28" s="3">
        <f>IF(COUNTIF($B$2:B28,B28)=1,1,0)</f>
        <v/>
      </c>
    </row>
    <row r="29">
      <c r="A29" s="3" t="inlineStr">
        <is>
          <t>V028</t>
        </is>
      </c>
      <c r="B29" s="29" t="n">
        <v>46269</v>
      </c>
      <c r="C29" s="3" t="inlineStr">
        <is>
          <t>07:33</t>
        </is>
      </c>
      <c r="D29" s="3" t="inlineStr">
        <is>
          <t>2026-09</t>
        </is>
      </c>
      <c r="E29" s="3" t="n">
        <v>36</v>
      </c>
      <c r="F29" s="3" t="inlineStr">
        <is>
          <t>viernes</t>
        </is>
      </c>
      <c r="G29" s="3" t="n">
        <v>4</v>
      </c>
      <c r="H29" s="3" t="n">
        <v>7</v>
      </c>
      <c r="I29" s="3" t="inlineStr">
        <is>
          <t>07:00-07:59</t>
        </is>
      </c>
      <c r="J29" s="3" t="inlineStr">
        <is>
          <t>VTC</t>
        </is>
      </c>
      <c r="K29" s="28" t="n">
        <v>7.66</v>
      </c>
      <c r="L29" s="3" t="inlineStr">
        <is>
          <t>app</t>
        </is>
      </c>
      <c r="M29" s="3" t="b">
        <v>0</v>
      </c>
      <c r="N29" s="3" t="b">
        <v>0</v>
      </c>
      <c r="O29" s="3" t="b">
        <v>0</v>
      </c>
      <c r="P29" s="3" t="b">
        <v>1</v>
      </c>
      <c r="Q29" s="3">
        <f>IF(COUNTIF($B$2:B29,B29)=1,1,0)</f>
        <v/>
      </c>
    </row>
    <row r="30">
      <c r="A30" s="3" t="inlineStr">
        <is>
          <t>V029</t>
        </is>
      </c>
      <c r="B30" s="29" t="n">
        <v>46269</v>
      </c>
      <c r="C30" s="3" t="inlineStr">
        <is>
          <t>07:59</t>
        </is>
      </c>
      <c r="D30" s="3" t="inlineStr">
        <is>
          <t>2026-09</t>
        </is>
      </c>
      <c r="E30" s="3" t="n">
        <v>36</v>
      </c>
      <c r="F30" s="3" t="inlineStr">
        <is>
          <t>viernes</t>
        </is>
      </c>
      <c r="G30" s="3" t="n">
        <v>4</v>
      </c>
      <c r="H30" s="3" t="n">
        <v>7</v>
      </c>
      <c r="I30" s="3" t="inlineStr">
        <is>
          <t>07:00-07:59</t>
        </is>
      </c>
      <c r="J30" s="3" t="inlineStr">
        <is>
          <t>VTC</t>
        </is>
      </c>
      <c r="K30" s="28" t="n">
        <v>10.25</v>
      </c>
      <c r="L30" s="3" t="inlineStr">
        <is>
          <t>app</t>
        </is>
      </c>
      <c r="M30" s="3" t="b">
        <v>0</v>
      </c>
      <c r="N30" s="3" t="b">
        <v>0</v>
      </c>
      <c r="O30" s="3" t="b">
        <v>0</v>
      </c>
      <c r="P30" s="3" t="b">
        <v>1</v>
      </c>
      <c r="Q30" s="3">
        <f>IF(COUNTIF($B$2:B30,B30)=1,1,0)</f>
        <v/>
      </c>
    </row>
    <row r="31">
      <c r="A31" s="3" t="inlineStr">
        <is>
          <t>V030</t>
        </is>
      </c>
      <c r="B31" s="29" t="n">
        <v>46269</v>
      </c>
      <c r="C31" s="3" t="inlineStr">
        <is>
          <t>09:06</t>
        </is>
      </c>
      <c r="D31" s="3" t="inlineStr">
        <is>
          <t>2026-09</t>
        </is>
      </c>
      <c r="E31" s="3" t="n">
        <v>36</v>
      </c>
      <c r="F31" s="3" t="inlineStr">
        <is>
          <t>viernes</t>
        </is>
      </c>
      <c r="G31" s="3" t="n">
        <v>4</v>
      </c>
      <c r="H31" s="3" t="n">
        <v>9</v>
      </c>
      <c r="I31" s="3" t="inlineStr">
        <is>
          <t>09:00-09:59</t>
        </is>
      </c>
      <c r="J31" s="3" t="inlineStr">
        <is>
          <t>VTC</t>
        </is>
      </c>
      <c r="K31" s="28" t="n">
        <v>12.84</v>
      </c>
      <c r="L31" s="3" t="inlineStr">
        <is>
          <t>app</t>
        </is>
      </c>
      <c r="M31" s="3" t="b">
        <v>0</v>
      </c>
      <c r="N31" s="3" t="b">
        <v>0</v>
      </c>
      <c r="O31" s="3" t="b">
        <v>0</v>
      </c>
      <c r="P31" s="3" t="b">
        <v>1</v>
      </c>
      <c r="Q31" s="3">
        <f>IF(COUNTIF($B$2:B31,B31)=1,1,0)</f>
        <v/>
      </c>
    </row>
    <row r="32">
      <c r="A32" s="3" t="inlineStr">
        <is>
          <t>V031</t>
        </is>
      </c>
      <c r="B32" s="29" t="n">
        <v>46269</v>
      </c>
      <c r="C32" s="3" t="inlineStr">
        <is>
          <t>10:53</t>
        </is>
      </c>
      <c r="D32" s="3" t="inlineStr">
        <is>
          <t>2026-09</t>
        </is>
      </c>
      <c r="E32" s="3" t="n">
        <v>36</v>
      </c>
      <c r="F32" s="3" t="inlineStr">
        <is>
          <t>viernes</t>
        </is>
      </c>
      <c r="G32" s="3" t="n">
        <v>4</v>
      </c>
      <c r="H32" s="3" t="n">
        <v>10</v>
      </c>
      <c r="I32" s="3" t="inlineStr">
        <is>
          <t>10:00-10:59</t>
        </is>
      </c>
      <c r="J32" s="3" t="inlineStr">
        <is>
          <t>VTC</t>
        </is>
      </c>
      <c r="K32" s="28" t="n">
        <v>0</v>
      </c>
      <c r="L32" s="3" t="inlineStr">
        <is>
          <t>app</t>
        </is>
      </c>
      <c r="M32" s="3" t="b">
        <v>1</v>
      </c>
      <c r="N32" s="3" t="b">
        <v>0</v>
      </c>
      <c r="O32" s="3" t="b">
        <v>0</v>
      </c>
      <c r="P32" s="3" t="b">
        <v>1</v>
      </c>
      <c r="Q32" s="3">
        <f>IF(COUNTIF($B$2:B32,B32)=1,1,0)</f>
        <v/>
      </c>
    </row>
    <row r="33">
      <c r="A33" s="3" t="inlineStr">
        <is>
          <t>V032</t>
        </is>
      </c>
      <c r="B33" s="29" t="n">
        <v>46272</v>
      </c>
      <c r="C33" s="3" t="inlineStr">
        <is>
          <t>06:19</t>
        </is>
      </c>
      <c r="D33" s="3" t="inlineStr">
        <is>
          <t>2026-09</t>
        </is>
      </c>
      <c r="E33" s="3" t="n">
        <v>37</v>
      </c>
      <c r="F33" s="3" t="inlineStr">
        <is>
          <t>lunes</t>
        </is>
      </c>
      <c r="G33" s="3" t="n">
        <v>0</v>
      </c>
      <c r="H33" s="3" t="n">
        <v>6</v>
      </c>
      <c r="I33" s="3" t="inlineStr">
        <is>
          <t>06:00-06:59</t>
        </is>
      </c>
      <c r="J33" s="3" t="inlineStr">
        <is>
          <t>VTC</t>
        </is>
      </c>
      <c r="K33" s="28" t="n">
        <v>6.45</v>
      </c>
      <c r="L33" s="3" t="inlineStr">
        <is>
          <t>app</t>
        </is>
      </c>
      <c r="M33" s="3" t="b">
        <v>0</v>
      </c>
      <c r="N33" s="3" t="b">
        <v>0</v>
      </c>
      <c r="O33" s="3" t="b">
        <v>0</v>
      </c>
      <c r="P33" s="3" t="b">
        <v>1</v>
      </c>
      <c r="Q33" s="3">
        <f>IF(COUNTIF($B$2:B33,B33)=1,1,0)</f>
        <v/>
      </c>
    </row>
    <row r="34">
      <c r="A34" s="3" t="inlineStr">
        <is>
          <t>V033</t>
        </is>
      </c>
      <c r="B34" s="29" t="n">
        <v>46272</v>
      </c>
      <c r="C34" s="3" t="inlineStr">
        <is>
          <t>06:50</t>
        </is>
      </c>
      <c r="D34" s="3" t="inlineStr">
        <is>
          <t>2026-09</t>
        </is>
      </c>
      <c r="E34" s="3" t="n">
        <v>37</v>
      </c>
      <c r="F34" s="3" t="inlineStr">
        <is>
          <t>lunes</t>
        </is>
      </c>
      <c r="G34" s="3" t="n">
        <v>0</v>
      </c>
      <c r="H34" s="3" t="n">
        <v>6</v>
      </c>
      <c r="I34" s="3" t="inlineStr">
        <is>
          <t>06:00-06:59</t>
        </is>
      </c>
      <c r="J34" s="3" t="inlineStr">
        <is>
          <t>VTC</t>
        </is>
      </c>
      <c r="K34" s="28" t="n">
        <v>6.33</v>
      </c>
      <c r="L34" s="3" t="inlineStr">
        <is>
          <t>app</t>
        </is>
      </c>
      <c r="M34" s="3" t="b">
        <v>0</v>
      </c>
      <c r="N34" s="3" t="b">
        <v>0</v>
      </c>
      <c r="O34" s="3" t="b">
        <v>0</v>
      </c>
      <c r="P34" s="3" t="b">
        <v>1</v>
      </c>
      <c r="Q34" s="3">
        <f>IF(COUNTIF($B$2:B34,B34)=1,1,0)</f>
        <v/>
      </c>
    </row>
    <row r="35">
      <c r="A35" s="3" t="inlineStr">
        <is>
          <t>V034</t>
        </is>
      </c>
      <c r="B35" s="29" t="n">
        <v>46272</v>
      </c>
      <c r="C35" s="3" t="inlineStr">
        <is>
          <t>07:10</t>
        </is>
      </c>
      <c r="D35" s="3" t="inlineStr">
        <is>
          <t>2026-09</t>
        </is>
      </c>
      <c r="E35" s="3" t="n">
        <v>37</v>
      </c>
      <c r="F35" s="3" t="inlineStr">
        <is>
          <t>lunes</t>
        </is>
      </c>
      <c r="G35" s="3" t="n">
        <v>0</v>
      </c>
      <c r="H35" s="3" t="n">
        <v>7</v>
      </c>
      <c r="I35" s="3" t="inlineStr">
        <is>
          <t>07:00-07:59</t>
        </is>
      </c>
      <c r="J35" s="3" t="inlineStr">
        <is>
          <t>VTC</t>
        </is>
      </c>
      <c r="K35" s="28" t="n">
        <v>7.1</v>
      </c>
      <c r="L35" s="3" t="inlineStr">
        <is>
          <t>app</t>
        </is>
      </c>
      <c r="M35" s="3" t="b">
        <v>0</v>
      </c>
      <c r="N35" s="3" t="b">
        <v>0</v>
      </c>
      <c r="O35" s="3" t="b">
        <v>0</v>
      </c>
      <c r="P35" s="3" t="b">
        <v>1</v>
      </c>
      <c r="Q35" s="3">
        <f>IF(COUNTIF($B$2:B35,B35)=1,1,0)</f>
        <v/>
      </c>
    </row>
    <row r="36">
      <c r="A36" s="3" t="inlineStr">
        <is>
          <t>V035</t>
        </is>
      </c>
      <c r="B36" s="29" t="n">
        <v>46272</v>
      </c>
      <c r="C36" s="3" t="inlineStr">
        <is>
          <t>07:34</t>
        </is>
      </c>
      <c r="D36" s="3" t="inlineStr">
        <is>
          <t>2026-09</t>
        </is>
      </c>
      <c r="E36" s="3" t="n">
        <v>37</v>
      </c>
      <c r="F36" s="3" t="inlineStr">
        <is>
          <t>lunes</t>
        </is>
      </c>
      <c r="G36" s="3" t="n">
        <v>0</v>
      </c>
      <c r="H36" s="3" t="n">
        <v>7</v>
      </c>
      <c r="I36" s="3" t="inlineStr">
        <is>
          <t>07:00-07:59</t>
        </is>
      </c>
      <c r="J36" s="3" t="inlineStr">
        <is>
          <t>VTC</t>
        </is>
      </c>
      <c r="K36" s="28" t="n">
        <v>14.89</v>
      </c>
      <c r="L36" s="3" t="inlineStr">
        <is>
          <t>app</t>
        </is>
      </c>
      <c r="M36" s="3" t="b">
        <v>0</v>
      </c>
      <c r="N36" s="3" t="b">
        <v>0</v>
      </c>
      <c r="O36" s="3" t="b">
        <v>0</v>
      </c>
      <c r="P36" s="3" t="b">
        <v>1</v>
      </c>
      <c r="Q36" s="3">
        <f>IF(COUNTIF($B$2:B36,B36)=1,1,0)</f>
        <v/>
      </c>
    </row>
    <row r="37">
      <c r="A37" s="3" t="inlineStr">
        <is>
          <t>V036</t>
        </is>
      </c>
      <c r="B37" s="29" t="n">
        <v>46272</v>
      </c>
      <c r="C37" s="3" t="inlineStr">
        <is>
          <t>08:15</t>
        </is>
      </c>
      <c r="D37" s="3" t="inlineStr">
        <is>
          <t>2026-09</t>
        </is>
      </c>
      <c r="E37" s="3" t="n">
        <v>37</v>
      </c>
      <c r="F37" s="3" t="inlineStr">
        <is>
          <t>lunes</t>
        </is>
      </c>
      <c r="G37" s="3" t="n">
        <v>0</v>
      </c>
      <c r="H37" s="3" t="n">
        <v>8</v>
      </c>
      <c r="I37" s="3" t="inlineStr">
        <is>
          <t>08:00-08:59</t>
        </is>
      </c>
      <c r="J37" s="3" t="inlineStr">
        <is>
          <t>VTC</t>
        </is>
      </c>
      <c r="K37" s="28" t="n">
        <v>15.66</v>
      </c>
      <c r="L37" s="3" t="inlineStr">
        <is>
          <t>app</t>
        </is>
      </c>
      <c r="M37" s="3" t="b">
        <v>0</v>
      </c>
      <c r="N37" s="3" t="b">
        <v>0</v>
      </c>
      <c r="O37" s="3" t="b">
        <v>0</v>
      </c>
      <c r="P37" s="3" t="b">
        <v>1</v>
      </c>
      <c r="Q37" s="3">
        <f>IF(COUNTIF($B$2:B37,B37)=1,1,0)</f>
        <v/>
      </c>
    </row>
    <row r="38">
      <c r="A38" s="3" t="inlineStr">
        <is>
          <t>V037</t>
        </is>
      </c>
      <c r="B38" s="29" t="n">
        <v>46272</v>
      </c>
      <c r="C38" s="3" t="inlineStr">
        <is>
          <t>09:19</t>
        </is>
      </c>
      <c r="D38" s="3" t="inlineStr">
        <is>
          <t>2026-09</t>
        </is>
      </c>
      <c r="E38" s="3" t="n">
        <v>37</v>
      </c>
      <c r="F38" s="3" t="inlineStr">
        <is>
          <t>lunes</t>
        </is>
      </c>
      <c r="G38" s="3" t="n">
        <v>0</v>
      </c>
      <c r="H38" s="3" t="n">
        <v>9</v>
      </c>
      <c r="I38" s="3" t="inlineStr">
        <is>
          <t>09:00-09:59</t>
        </is>
      </c>
      <c r="J38" s="3" t="inlineStr">
        <is>
          <t>VTC</t>
        </is>
      </c>
      <c r="K38" s="28" t="n">
        <v>14.49</v>
      </c>
      <c r="L38" s="3" t="inlineStr">
        <is>
          <t>app</t>
        </is>
      </c>
      <c r="M38" s="3" t="b">
        <v>0</v>
      </c>
      <c r="N38" s="3" t="b">
        <v>0</v>
      </c>
      <c r="O38" s="3" t="b">
        <v>0</v>
      </c>
      <c r="P38" s="3" t="b">
        <v>1</v>
      </c>
      <c r="Q38" s="3">
        <f>IF(COUNTIF($B$2:B38,B38)=1,1,0)</f>
        <v/>
      </c>
    </row>
    <row r="39">
      <c r="A39" s="3" t="inlineStr">
        <is>
          <t>V038</t>
        </is>
      </c>
      <c r="B39" s="29" t="n">
        <v>46272</v>
      </c>
      <c r="C39" s="3" t="inlineStr">
        <is>
          <t>09:52</t>
        </is>
      </c>
      <c r="D39" s="3" t="inlineStr">
        <is>
          <t>2026-09</t>
        </is>
      </c>
      <c r="E39" s="3" t="n">
        <v>37</v>
      </c>
      <c r="F39" s="3" t="inlineStr">
        <is>
          <t>lunes</t>
        </is>
      </c>
      <c r="G39" s="3" t="n">
        <v>0</v>
      </c>
      <c r="H39" s="3" t="n">
        <v>9</v>
      </c>
      <c r="I39" s="3" t="inlineStr">
        <is>
          <t>09:00-09:59</t>
        </is>
      </c>
      <c r="J39" s="3" t="inlineStr">
        <is>
          <t>VTC</t>
        </is>
      </c>
      <c r="K39" s="28" t="n">
        <v>0</v>
      </c>
      <c r="L39" s="3" t="inlineStr">
        <is>
          <t>efectivo</t>
        </is>
      </c>
      <c r="M39" s="3" t="b">
        <v>1</v>
      </c>
      <c r="N39" s="3" t="b">
        <v>0</v>
      </c>
      <c r="O39" s="3" t="b">
        <v>0</v>
      </c>
      <c r="P39" s="3" t="b">
        <v>1</v>
      </c>
      <c r="Q39" s="3">
        <f>IF(COUNTIF($B$2:B39,B39)=1,1,0)</f>
        <v/>
      </c>
    </row>
    <row r="40">
      <c r="A40" s="3" t="inlineStr">
        <is>
          <t>V039</t>
        </is>
      </c>
      <c r="B40" s="29" t="n">
        <v>46272</v>
      </c>
      <c r="C40" s="3" t="inlineStr">
        <is>
          <t>09:54</t>
        </is>
      </c>
      <c r="D40" s="3" t="inlineStr">
        <is>
          <t>2026-09</t>
        </is>
      </c>
      <c r="E40" s="3" t="n">
        <v>37</v>
      </c>
      <c r="F40" s="3" t="inlineStr">
        <is>
          <t>lunes</t>
        </is>
      </c>
      <c r="G40" s="3" t="n">
        <v>0</v>
      </c>
      <c r="H40" s="3" t="n">
        <v>9</v>
      </c>
      <c r="I40" s="3" t="inlineStr">
        <is>
          <t>09:00-09:59</t>
        </is>
      </c>
      <c r="J40" s="3" t="inlineStr">
        <is>
          <t>VTC</t>
        </is>
      </c>
      <c r="K40" s="28" t="n">
        <v>19.1</v>
      </c>
      <c r="L40" s="3" t="inlineStr">
        <is>
          <t>app</t>
        </is>
      </c>
      <c r="M40" s="3" t="b">
        <v>0</v>
      </c>
      <c r="N40" s="3" t="b">
        <v>0</v>
      </c>
      <c r="O40" s="3" t="b">
        <v>0</v>
      </c>
      <c r="P40" s="3" t="b">
        <v>1</v>
      </c>
      <c r="Q40" s="3">
        <f>IF(COUNTIF($B$2:B40,B40)=1,1,0)</f>
        <v/>
      </c>
    </row>
    <row r="41">
      <c r="A41" s="3" t="inlineStr">
        <is>
          <t>V040</t>
        </is>
      </c>
      <c r="B41" s="29" t="n">
        <v>46272</v>
      </c>
      <c r="C41" s="3" t="inlineStr">
        <is>
          <t>10:41</t>
        </is>
      </c>
      <c r="D41" s="3" t="inlineStr">
        <is>
          <t>2026-09</t>
        </is>
      </c>
      <c r="E41" s="3" t="n">
        <v>37</v>
      </c>
      <c r="F41" s="3" t="inlineStr">
        <is>
          <t>lunes</t>
        </is>
      </c>
      <c r="G41" s="3" t="n">
        <v>0</v>
      </c>
      <c r="H41" s="3" t="n">
        <v>10</v>
      </c>
      <c r="I41" s="3" t="inlineStr">
        <is>
          <t>10:00-10:59</t>
        </is>
      </c>
      <c r="J41" s="3" t="inlineStr">
        <is>
          <t>VTC Prioritario</t>
        </is>
      </c>
      <c r="K41" s="28" t="n">
        <v>6</v>
      </c>
      <c r="L41" s="3" t="inlineStr">
        <is>
          <t>app</t>
        </is>
      </c>
      <c r="M41" s="3" t="b">
        <v>0</v>
      </c>
      <c r="N41" s="3" t="b">
        <v>1</v>
      </c>
      <c r="O41" s="3" t="b">
        <v>0</v>
      </c>
      <c r="P41" s="3" t="b">
        <v>1</v>
      </c>
      <c r="Q41" s="3">
        <f>IF(COUNTIF($B$2:B41,B41)=1,1,0)</f>
        <v/>
      </c>
    </row>
    <row r="42">
      <c r="A42" s="3" t="inlineStr">
        <is>
          <t>V041</t>
        </is>
      </c>
      <c r="B42" s="29" t="n">
        <v>46273</v>
      </c>
      <c r="C42" s="3" t="inlineStr">
        <is>
          <t>07:11</t>
        </is>
      </c>
      <c r="D42" s="3" t="inlineStr">
        <is>
          <t>2026-09</t>
        </is>
      </c>
      <c r="E42" s="3" t="n">
        <v>37</v>
      </c>
      <c r="F42" s="3" t="inlineStr">
        <is>
          <t>martes</t>
        </is>
      </c>
      <c r="G42" s="3" t="n">
        <v>1</v>
      </c>
      <c r="H42" s="3" t="n">
        <v>7</v>
      </c>
      <c r="I42" s="3" t="inlineStr">
        <is>
          <t>07:00-07:59</t>
        </is>
      </c>
      <c r="J42" s="3" t="inlineStr">
        <is>
          <t>VTC</t>
        </is>
      </c>
      <c r="K42" s="28" t="n">
        <v>10.37</v>
      </c>
      <c r="L42" s="3" t="inlineStr">
        <is>
          <t>efectivo</t>
        </is>
      </c>
      <c r="M42" s="3" t="b">
        <v>0</v>
      </c>
      <c r="N42" s="3" t="b">
        <v>0</v>
      </c>
      <c r="O42" s="3" t="b">
        <v>0</v>
      </c>
      <c r="P42" s="3" t="b">
        <v>1</v>
      </c>
      <c r="Q42" s="3">
        <f>IF(COUNTIF($B$2:B42,B42)=1,1,0)</f>
        <v/>
      </c>
    </row>
    <row r="43">
      <c r="A43" s="3" t="inlineStr">
        <is>
          <t>V042</t>
        </is>
      </c>
      <c r="B43" s="29" t="n">
        <v>46273</v>
      </c>
      <c r="C43" s="3" t="inlineStr">
        <is>
          <t>07:43</t>
        </is>
      </c>
      <c r="D43" s="3" t="inlineStr">
        <is>
          <t>2026-09</t>
        </is>
      </c>
      <c r="E43" s="3" t="n">
        <v>37</v>
      </c>
      <c r="F43" s="3" t="inlineStr">
        <is>
          <t>martes</t>
        </is>
      </c>
      <c r="G43" s="3" t="n">
        <v>1</v>
      </c>
      <c r="H43" s="3" t="n">
        <v>7</v>
      </c>
      <c r="I43" s="3" t="inlineStr">
        <is>
          <t>07:00-07:59</t>
        </is>
      </c>
      <c r="J43" s="3" t="inlineStr">
        <is>
          <t>VTC</t>
        </is>
      </c>
      <c r="K43" s="28" t="n">
        <v>6</v>
      </c>
      <c r="L43" s="3" t="inlineStr">
        <is>
          <t>app</t>
        </is>
      </c>
      <c r="M43" s="3" t="b">
        <v>0</v>
      </c>
      <c r="N43" s="3" t="b">
        <v>1</v>
      </c>
      <c r="O43" s="3" t="b">
        <v>0</v>
      </c>
      <c r="P43" s="3" t="b">
        <v>1</v>
      </c>
      <c r="Q43" s="3">
        <f>IF(COUNTIF($B$2:B43,B43)=1,1,0)</f>
        <v/>
      </c>
    </row>
    <row r="44">
      <c r="A44" s="3" t="inlineStr">
        <is>
          <t>V043</t>
        </is>
      </c>
      <c r="B44" s="29" t="n">
        <v>46273</v>
      </c>
      <c r="C44" s="3" t="inlineStr">
        <is>
          <t>08:05</t>
        </is>
      </c>
      <c r="D44" s="3" t="inlineStr">
        <is>
          <t>2026-09</t>
        </is>
      </c>
      <c r="E44" s="3" t="n">
        <v>37</v>
      </c>
      <c r="F44" s="3" t="inlineStr">
        <is>
          <t>martes</t>
        </is>
      </c>
      <c r="G44" s="3" t="n">
        <v>1</v>
      </c>
      <c r="H44" s="3" t="n">
        <v>8</v>
      </c>
      <c r="I44" s="3" t="inlineStr">
        <is>
          <t>08:00-08:59</t>
        </is>
      </c>
      <c r="J44" s="3" t="inlineStr">
        <is>
          <t>VTC</t>
        </is>
      </c>
      <c r="K44" s="28" t="n">
        <v>8</v>
      </c>
      <c r="L44" s="3" t="inlineStr">
        <is>
          <t>app</t>
        </is>
      </c>
      <c r="M44" s="3" t="b">
        <v>0</v>
      </c>
      <c r="N44" s="3" t="b">
        <v>0</v>
      </c>
      <c r="O44" s="3" t="b">
        <v>0</v>
      </c>
      <c r="P44" s="3" t="b">
        <v>1</v>
      </c>
      <c r="Q44" s="3">
        <f>IF(COUNTIF($B$2:B44,B44)=1,1,0)</f>
        <v/>
      </c>
    </row>
    <row r="45">
      <c r="A45" s="3" t="inlineStr">
        <is>
          <t>V044</t>
        </is>
      </c>
      <c r="B45" s="29" t="n">
        <v>46273</v>
      </c>
      <c r="C45" s="3" t="inlineStr">
        <is>
          <t>08:26</t>
        </is>
      </c>
      <c r="D45" s="3" t="inlineStr">
        <is>
          <t>2026-09</t>
        </is>
      </c>
      <c r="E45" s="3" t="n">
        <v>37</v>
      </c>
      <c r="F45" s="3" t="inlineStr">
        <is>
          <t>martes</t>
        </is>
      </c>
      <c r="G45" s="3" t="n">
        <v>1</v>
      </c>
      <c r="H45" s="3" t="n">
        <v>8</v>
      </c>
      <c r="I45" s="3" t="inlineStr">
        <is>
          <t>08:00-08:59</t>
        </is>
      </c>
      <c r="J45" s="3" t="inlineStr">
        <is>
          <t>VTC</t>
        </is>
      </c>
      <c r="K45" s="28" t="n">
        <v>9.81</v>
      </c>
      <c r="L45" s="3" t="inlineStr">
        <is>
          <t>app</t>
        </is>
      </c>
      <c r="M45" s="3" t="b">
        <v>0</v>
      </c>
      <c r="N45" s="3" t="b">
        <v>0</v>
      </c>
      <c r="O45" s="3" t="b">
        <v>0</v>
      </c>
      <c r="P45" s="3" t="b">
        <v>1</v>
      </c>
      <c r="Q45" s="3">
        <f>IF(COUNTIF($B$2:B45,B45)=1,1,0)</f>
        <v/>
      </c>
    </row>
    <row r="46">
      <c r="A46" s="3" t="inlineStr">
        <is>
          <t>V045</t>
        </is>
      </c>
      <c r="B46" s="29" t="n">
        <v>46273</v>
      </c>
      <c r="C46" s="3" t="inlineStr">
        <is>
          <t>08:56</t>
        </is>
      </c>
      <c r="D46" s="3" t="inlineStr">
        <is>
          <t>2026-09</t>
        </is>
      </c>
      <c r="E46" s="3" t="n">
        <v>37</v>
      </c>
      <c r="F46" s="3" t="inlineStr">
        <is>
          <t>martes</t>
        </is>
      </c>
      <c r="G46" s="3" t="n">
        <v>1</v>
      </c>
      <c r="H46" s="3" t="n">
        <v>8</v>
      </c>
      <c r="I46" s="3" t="inlineStr">
        <is>
          <t>08:00-08:59</t>
        </is>
      </c>
      <c r="J46" s="3" t="inlineStr">
        <is>
          <t>VTC</t>
        </is>
      </c>
      <c r="K46" s="28" t="n">
        <v>0</v>
      </c>
      <c r="L46" s="3" t="inlineStr">
        <is>
          <t>app</t>
        </is>
      </c>
      <c r="M46" s="3" t="b">
        <v>1</v>
      </c>
      <c r="N46" s="3" t="b">
        <v>0</v>
      </c>
      <c r="O46" s="3" t="b">
        <v>0</v>
      </c>
      <c r="P46" s="3" t="b">
        <v>1</v>
      </c>
      <c r="Q46" s="3">
        <f>IF(COUNTIF($B$2:B46,B46)=1,1,0)</f>
        <v/>
      </c>
    </row>
    <row r="47">
      <c r="A47" s="3" t="inlineStr">
        <is>
          <t>V046</t>
        </is>
      </c>
      <c r="B47" s="29" t="n">
        <v>46273</v>
      </c>
      <c r="C47" s="3" t="inlineStr">
        <is>
          <t>09:03</t>
        </is>
      </c>
      <c r="D47" s="3" t="inlineStr">
        <is>
          <t>2026-09</t>
        </is>
      </c>
      <c r="E47" s="3" t="n">
        <v>37</v>
      </c>
      <c r="F47" s="3" t="inlineStr">
        <is>
          <t>martes</t>
        </is>
      </c>
      <c r="G47" s="3" t="n">
        <v>1</v>
      </c>
      <c r="H47" s="3" t="n">
        <v>9</v>
      </c>
      <c r="I47" s="3" t="inlineStr">
        <is>
          <t>09:00-09:59</t>
        </is>
      </c>
      <c r="J47" s="3" t="inlineStr">
        <is>
          <t>VTC Airport</t>
        </is>
      </c>
      <c r="K47" s="28" t="n">
        <v>0</v>
      </c>
      <c r="L47" s="3" t="inlineStr">
        <is>
          <t>app</t>
        </is>
      </c>
      <c r="M47" s="3" t="b">
        <v>1</v>
      </c>
      <c r="N47" s="3" t="b">
        <v>0</v>
      </c>
      <c r="O47" s="3" t="b">
        <v>1</v>
      </c>
      <c r="P47" s="3" t="b">
        <v>1</v>
      </c>
      <c r="Q47" s="3">
        <f>IF(COUNTIF($B$2:B47,B47)=1,1,0)</f>
        <v/>
      </c>
    </row>
    <row r="48">
      <c r="A48" s="3" t="inlineStr">
        <is>
          <t>V047</t>
        </is>
      </c>
      <c r="B48" s="29" t="n">
        <v>46273</v>
      </c>
      <c r="C48" s="3" t="inlineStr">
        <is>
          <t>09:05</t>
        </is>
      </c>
      <c r="D48" s="3" t="inlineStr">
        <is>
          <t>2026-09</t>
        </is>
      </c>
      <c r="E48" s="3" t="n">
        <v>37</v>
      </c>
      <c r="F48" s="3" t="inlineStr">
        <is>
          <t>martes</t>
        </is>
      </c>
      <c r="G48" s="3" t="n">
        <v>1</v>
      </c>
      <c r="H48" s="3" t="n">
        <v>9</v>
      </c>
      <c r="I48" s="3" t="inlineStr">
        <is>
          <t>09:00-09:59</t>
        </is>
      </c>
      <c r="J48" s="3" t="inlineStr">
        <is>
          <t>VTC Prioritario</t>
        </is>
      </c>
      <c r="K48" s="28" t="n">
        <v>12.08</v>
      </c>
      <c r="L48" s="3" t="inlineStr">
        <is>
          <t>app</t>
        </is>
      </c>
      <c r="M48" s="3" t="b">
        <v>0</v>
      </c>
      <c r="N48" s="3" t="b">
        <v>0</v>
      </c>
      <c r="O48" s="3" t="b">
        <v>0</v>
      </c>
      <c r="P48" s="3" t="b">
        <v>1</v>
      </c>
      <c r="Q48" s="3">
        <f>IF(COUNTIF($B$2:B48,B48)=1,1,0)</f>
        <v/>
      </c>
    </row>
    <row r="49">
      <c r="A49" s="3" t="inlineStr">
        <is>
          <t>V048</t>
        </is>
      </c>
      <c r="B49" s="29" t="n">
        <v>46273</v>
      </c>
      <c r="C49" s="3" t="inlineStr">
        <is>
          <t>09:28</t>
        </is>
      </c>
      <c r="D49" s="3" t="inlineStr">
        <is>
          <t>2026-09</t>
        </is>
      </c>
      <c r="E49" s="3" t="n">
        <v>37</v>
      </c>
      <c r="F49" s="3" t="inlineStr">
        <is>
          <t>martes</t>
        </is>
      </c>
      <c r="G49" s="3" t="n">
        <v>1</v>
      </c>
      <c r="H49" s="3" t="n">
        <v>9</v>
      </c>
      <c r="I49" s="3" t="inlineStr">
        <is>
          <t>09:00-09:59</t>
        </is>
      </c>
      <c r="J49" s="3" t="inlineStr">
        <is>
          <t>VTC Airport</t>
        </is>
      </c>
      <c r="K49" s="28" t="n">
        <v>17.36</v>
      </c>
      <c r="L49" s="3" t="inlineStr">
        <is>
          <t>app</t>
        </is>
      </c>
      <c r="M49" s="3" t="b">
        <v>0</v>
      </c>
      <c r="N49" s="3" t="b">
        <v>0</v>
      </c>
      <c r="O49" s="3" t="b">
        <v>1</v>
      </c>
      <c r="P49" s="3" t="b">
        <v>1</v>
      </c>
      <c r="Q49" s="3">
        <f>IF(COUNTIF($B$2:B49,B49)=1,1,0)</f>
        <v/>
      </c>
    </row>
    <row r="50">
      <c r="A50" s="3" t="inlineStr">
        <is>
          <t>V049</t>
        </is>
      </c>
      <c r="B50" s="29" t="n">
        <v>46273</v>
      </c>
      <c r="C50" s="3" t="inlineStr">
        <is>
          <t>10:33</t>
        </is>
      </c>
      <c r="D50" s="3" t="inlineStr">
        <is>
          <t>2026-09</t>
        </is>
      </c>
      <c r="E50" s="3" t="n">
        <v>37</v>
      </c>
      <c r="F50" s="3" t="inlineStr">
        <is>
          <t>martes</t>
        </is>
      </c>
      <c r="G50" s="3" t="n">
        <v>1</v>
      </c>
      <c r="H50" s="3" t="n">
        <v>10</v>
      </c>
      <c r="I50" s="3" t="inlineStr">
        <is>
          <t>10:00-10:59</t>
        </is>
      </c>
      <c r="J50" s="3" t="inlineStr">
        <is>
          <t>VTC</t>
        </is>
      </c>
      <c r="K50" s="28" t="n">
        <v>14.88</v>
      </c>
      <c r="L50" s="3" t="inlineStr">
        <is>
          <t>app</t>
        </is>
      </c>
      <c r="M50" s="3" t="b">
        <v>0</v>
      </c>
      <c r="N50" s="3" t="b">
        <v>0</v>
      </c>
      <c r="O50" s="3" t="b">
        <v>0</v>
      </c>
      <c r="P50" s="3" t="b">
        <v>1</v>
      </c>
      <c r="Q50" s="3">
        <f>IF(COUNTIF($B$2:B50,B50)=1,1,0)</f>
        <v/>
      </c>
    </row>
    <row r="51">
      <c r="A51" s="3" t="inlineStr">
        <is>
          <t>V050</t>
        </is>
      </c>
      <c r="B51" s="29" t="n">
        <v>46273</v>
      </c>
      <c r="C51" s="3" t="inlineStr">
        <is>
          <t>11:55</t>
        </is>
      </c>
      <c r="D51" s="3" t="inlineStr">
        <is>
          <t>2026-09</t>
        </is>
      </c>
      <c r="E51" s="3" t="n">
        <v>37</v>
      </c>
      <c r="F51" s="3" t="inlineStr">
        <is>
          <t>martes</t>
        </is>
      </c>
      <c r="G51" s="3" t="n">
        <v>1</v>
      </c>
      <c r="H51" s="3" t="n">
        <v>11</v>
      </c>
      <c r="I51" s="3" t="inlineStr">
        <is>
          <t>11:00-11:59</t>
        </is>
      </c>
      <c r="J51" s="3" t="inlineStr">
        <is>
          <t>VTC Eco</t>
        </is>
      </c>
      <c r="K51" s="28" t="n">
        <v>6</v>
      </c>
      <c r="L51" s="3" t="inlineStr">
        <is>
          <t>app</t>
        </is>
      </c>
      <c r="M51" s="3" t="b">
        <v>0</v>
      </c>
      <c r="N51" s="3" t="b">
        <v>1</v>
      </c>
      <c r="O51" s="3" t="b">
        <v>0</v>
      </c>
      <c r="P51" s="3" t="b">
        <v>1</v>
      </c>
      <c r="Q51" s="3">
        <f>IF(COUNTIF($B$2:B51,B51)=1,1,0)</f>
        <v/>
      </c>
    </row>
    <row r="52">
      <c r="A52" s="3" t="inlineStr">
        <is>
          <t>V051</t>
        </is>
      </c>
      <c r="B52" s="29" t="n">
        <v>46274</v>
      </c>
      <c r="C52" s="3" t="inlineStr">
        <is>
          <t>07:33</t>
        </is>
      </c>
      <c r="D52" s="3" t="inlineStr">
        <is>
          <t>2026-09</t>
        </is>
      </c>
      <c r="E52" s="3" t="n">
        <v>37</v>
      </c>
      <c r="F52" s="3" t="inlineStr">
        <is>
          <t>miércoles</t>
        </is>
      </c>
      <c r="G52" s="3" t="n">
        <v>2</v>
      </c>
      <c r="H52" s="3" t="n">
        <v>7</v>
      </c>
      <c r="I52" s="3" t="inlineStr">
        <is>
          <t>07:00-07:59</t>
        </is>
      </c>
      <c r="J52" s="3" t="inlineStr">
        <is>
          <t>VTC</t>
        </is>
      </c>
      <c r="K52" s="28" t="n">
        <v>7.97</v>
      </c>
      <c r="L52" s="3" t="inlineStr">
        <is>
          <t>app</t>
        </is>
      </c>
      <c r="M52" s="3" t="b">
        <v>0</v>
      </c>
      <c r="N52" s="3" t="b">
        <v>0</v>
      </c>
      <c r="O52" s="3" t="b">
        <v>0</v>
      </c>
      <c r="P52" s="3" t="b">
        <v>1</v>
      </c>
      <c r="Q52" s="3">
        <f>IF(COUNTIF($B$2:B52,B52)=1,1,0)</f>
        <v/>
      </c>
    </row>
    <row r="53">
      <c r="A53" s="3" t="inlineStr">
        <is>
          <t>V052</t>
        </is>
      </c>
      <c r="B53" s="29" t="n">
        <v>46274</v>
      </c>
      <c r="C53" s="3" t="inlineStr">
        <is>
          <t>07:59</t>
        </is>
      </c>
      <c r="D53" s="3" t="inlineStr">
        <is>
          <t>2026-09</t>
        </is>
      </c>
      <c r="E53" s="3" t="n">
        <v>37</v>
      </c>
      <c r="F53" s="3" t="inlineStr">
        <is>
          <t>miércoles</t>
        </is>
      </c>
      <c r="G53" s="3" t="n">
        <v>2</v>
      </c>
      <c r="H53" s="3" t="n">
        <v>7</v>
      </c>
      <c r="I53" s="3" t="inlineStr">
        <is>
          <t>07:00-07:59</t>
        </is>
      </c>
      <c r="J53" s="3" t="inlineStr">
        <is>
          <t>Electric</t>
        </is>
      </c>
      <c r="K53" s="28" t="n">
        <v>0</v>
      </c>
      <c r="L53" s="3" t="inlineStr">
        <is>
          <t>app</t>
        </is>
      </c>
      <c r="M53" s="3" t="b">
        <v>1</v>
      </c>
      <c r="N53" s="3" t="b">
        <v>0</v>
      </c>
      <c r="O53" s="3" t="b">
        <v>0</v>
      </c>
      <c r="P53" s="3" t="b">
        <v>1</v>
      </c>
      <c r="Q53" s="3">
        <f>IF(COUNTIF($B$2:B53,B53)=1,1,0)</f>
        <v/>
      </c>
    </row>
    <row r="54">
      <c r="A54" s="3" t="inlineStr">
        <is>
          <t>V053</t>
        </is>
      </c>
      <c r="B54" s="29" t="n">
        <v>46274</v>
      </c>
      <c r="C54" s="3" t="inlineStr">
        <is>
          <t>08:01</t>
        </is>
      </c>
      <c r="D54" s="3" t="inlineStr">
        <is>
          <t>2026-09</t>
        </is>
      </c>
      <c r="E54" s="3" t="n">
        <v>37</v>
      </c>
      <c r="F54" s="3" t="inlineStr">
        <is>
          <t>miércoles</t>
        </is>
      </c>
      <c r="G54" s="3" t="n">
        <v>2</v>
      </c>
      <c r="H54" s="3" t="n">
        <v>8</v>
      </c>
      <c r="I54" s="3" t="inlineStr">
        <is>
          <t>08:00-08:59</t>
        </is>
      </c>
      <c r="J54" s="3" t="inlineStr">
        <is>
          <t>VTC Eco</t>
        </is>
      </c>
      <c r="K54" s="28" t="n">
        <v>17.26</v>
      </c>
      <c r="L54" s="3" t="inlineStr">
        <is>
          <t>app</t>
        </is>
      </c>
      <c r="M54" s="3" t="b">
        <v>0</v>
      </c>
      <c r="N54" s="3" t="b">
        <v>0</v>
      </c>
      <c r="O54" s="3" t="b">
        <v>0</v>
      </c>
      <c r="P54" s="3" t="b">
        <v>1</v>
      </c>
      <c r="Q54" s="3">
        <f>IF(COUNTIF($B$2:B54,B54)=1,1,0)</f>
        <v/>
      </c>
    </row>
    <row r="55">
      <c r="A55" s="3" t="inlineStr">
        <is>
          <t>V054</t>
        </is>
      </c>
      <c r="B55" s="29" t="n">
        <v>46274</v>
      </c>
      <c r="C55" s="3" t="inlineStr">
        <is>
          <t>08:36</t>
        </is>
      </c>
      <c r="D55" s="3" t="inlineStr">
        <is>
          <t>2026-09</t>
        </is>
      </c>
      <c r="E55" s="3" t="n">
        <v>37</v>
      </c>
      <c r="F55" s="3" t="inlineStr">
        <is>
          <t>miércoles</t>
        </is>
      </c>
      <c r="G55" s="3" t="n">
        <v>2</v>
      </c>
      <c r="H55" s="3" t="n">
        <v>8</v>
      </c>
      <c r="I55" s="3" t="inlineStr">
        <is>
          <t>08:00-08:59</t>
        </is>
      </c>
      <c r="J55" s="3" t="inlineStr">
        <is>
          <t>VTC Eco</t>
        </is>
      </c>
      <c r="K55" s="28" t="n">
        <v>9.57</v>
      </c>
      <c r="L55" s="3" t="inlineStr">
        <is>
          <t>app</t>
        </is>
      </c>
      <c r="M55" s="3" t="b">
        <v>0</v>
      </c>
      <c r="N55" s="3" t="b">
        <v>0</v>
      </c>
      <c r="O55" s="3" t="b">
        <v>0</v>
      </c>
      <c r="P55" s="3" t="b">
        <v>1</v>
      </c>
      <c r="Q55" s="3">
        <f>IF(COUNTIF($B$2:B55,B55)=1,1,0)</f>
        <v/>
      </c>
    </row>
    <row r="56">
      <c r="A56" s="3" t="inlineStr">
        <is>
          <t>V055</t>
        </is>
      </c>
      <c r="B56" s="29" t="n">
        <v>46274</v>
      </c>
      <c r="C56" s="3" t="inlineStr">
        <is>
          <t>08:54</t>
        </is>
      </c>
      <c r="D56" s="3" t="inlineStr">
        <is>
          <t>2026-09</t>
        </is>
      </c>
      <c r="E56" s="3" t="n">
        <v>37</v>
      </c>
      <c r="F56" s="3" t="inlineStr">
        <is>
          <t>miércoles</t>
        </is>
      </c>
      <c r="G56" s="3" t="n">
        <v>2</v>
      </c>
      <c r="H56" s="3" t="n">
        <v>8</v>
      </c>
      <c r="I56" s="3" t="inlineStr">
        <is>
          <t>08:00-08:59</t>
        </is>
      </c>
      <c r="J56" s="3" t="inlineStr">
        <is>
          <t>VTC</t>
        </is>
      </c>
      <c r="K56" s="28" t="n">
        <v>26.43</v>
      </c>
      <c r="L56" s="3" t="inlineStr">
        <is>
          <t>app</t>
        </is>
      </c>
      <c r="M56" s="3" t="b">
        <v>0</v>
      </c>
      <c r="N56" s="3" t="b">
        <v>0</v>
      </c>
      <c r="O56" s="3" t="b">
        <v>0</v>
      </c>
      <c r="P56" s="3" t="b">
        <v>1</v>
      </c>
      <c r="Q56" s="3">
        <f>IF(COUNTIF($B$2:B56,B56)=1,1,0)</f>
        <v/>
      </c>
    </row>
    <row r="57">
      <c r="A57" s="3" t="inlineStr">
        <is>
          <t>V056</t>
        </is>
      </c>
      <c r="B57" s="29" t="n">
        <v>46274</v>
      </c>
      <c r="C57" s="3" t="inlineStr">
        <is>
          <t>09:41</t>
        </is>
      </c>
      <c r="D57" s="3" t="inlineStr">
        <is>
          <t>2026-09</t>
        </is>
      </c>
      <c r="E57" s="3" t="n">
        <v>37</v>
      </c>
      <c r="F57" s="3" t="inlineStr">
        <is>
          <t>miércoles</t>
        </is>
      </c>
      <c r="G57" s="3" t="n">
        <v>2</v>
      </c>
      <c r="H57" s="3" t="n">
        <v>9</v>
      </c>
      <c r="I57" s="3" t="inlineStr">
        <is>
          <t>09:00-09:59</t>
        </is>
      </c>
      <c r="J57" s="3" t="inlineStr">
        <is>
          <t>VTC</t>
        </is>
      </c>
      <c r="K57" s="28" t="n">
        <v>6.27</v>
      </c>
      <c r="L57" s="3" t="inlineStr">
        <is>
          <t>app</t>
        </is>
      </c>
      <c r="M57" s="3" t="b">
        <v>0</v>
      </c>
      <c r="N57" s="3" t="b">
        <v>0</v>
      </c>
      <c r="O57" s="3" t="b">
        <v>0</v>
      </c>
      <c r="P57" s="3" t="b">
        <v>1</v>
      </c>
      <c r="Q57" s="3">
        <f>IF(COUNTIF($B$2:B57,B57)=1,1,0)</f>
        <v/>
      </c>
    </row>
    <row r="58">
      <c r="A58" s="3" t="inlineStr">
        <is>
          <t>V057</t>
        </is>
      </c>
      <c r="B58" s="29" t="n">
        <v>46274</v>
      </c>
      <c r="C58" s="3" t="inlineStr">
        <is>
          <t>10:13</t>
        </is>
      </c>
      <c r="D58" s="3" t="inlineStr">
        <is>
          <t>2026-09</t>
        </is>
      </c>
      <c r="E58" s="3" t="n">
        <v>37</v>
      </c>
      <c r="F58" s="3" t="inlineStr">
        <is>
          <t>miércoles</t>
        </is>
      </c>
      <c r="G58" s="3" t="n">
        <v>2</v>
      </c>
      <c r="H58" s="3" t="n">
        <v>10</v>
      </c>
      <c r="I58" s="3" t="inlineStr">
        <is>
          <t>10:00-10:59</t>
        </is>
      </c>
      <c r="J58" s="3" t="inlineStr">
        <is>
          <t>VTC</t>
        </is>
      </c>
      <c r="K58" s="28" t="n">
        <v>28.95</v>
      </c>
      <c r="L58" s="3" t="inlineStr">
        <is>
          <t>app</t>
        </is>
      </c>
      <c r="M58" s="3" t="b">
        <v>0</v>
      </c>
      <c r="N58" s="3" t="b">
        <v>0</v>
      </c>
      <c r="O58" s="3" t="b">
        <v>0</v>
      </c>
      <c r="P58" s="3" t="b">
        <v>1</v>
      </c>
      <c r="Q58" s="3">
        <f>IF(COUNTIF($B$2:B58,B58)=1,1,0)</f>
        <v/>
      </c>
    </row>
    <row r="59">
      <c r="A59" s="3" t="inlineStr">
        <is>
          <t>V058</t>
        </is>
      </c>
      <c r="B59" s="29" t="n">
        <v>46274</v>
      </c>
      <c r="C59" s="3" t="inlineStr">
        <is>
          <t>11:44</t>
        </is>
      </c>
      <c r="D59" s="3" t="inlineStr">
        <is>
          <t>2026-09</t>
        </is>
      </c>
      <c r="E59" s="3" t="n">
        <v>37</v>
      </c>
      <c r="F59" s="3" t="inlineStr">
        <is>
          <t>miércoles</t>
        </is>
      </c>
      <c r="G59" s="3" t="n">
        <v>2</v>
      </c>
      <c r="H59" s="3" t="n">
        <v>11</v>
      </c>
      <c r="I59" s="3" t="inlineStr">
        <is>
          <t>11:00-11:59</t>
        </is>
      </c>
      <c r="J59" s="3" t="inlineStr">
        <is>
          <t>VTC</t>
        </is>
      </c>
      <c r="K59" s="28" t="n">
        <v>8.01</v>
      </c>
      <c r="L59" s="3" t="inlineStr">
        <is>
          <t>app</t>
        </is>
      </c>
      <c r="M59" s="3" t="b">
        <v>0</v>
      </c>
      <c r="N59" s="3" t="b">
        <v>0</v>
      </c>
      <c r="O59" s="3" t="b">
        <v>0</v>
      </c>
      <c r="P59" s="3" t="b">
        <v>1</v>
      </c>
      <c r="Q59" s="3">
        <f>IF(COUNTIF($B$2:B59,B59)=1,1,0)</f>
        <v/>
      </c>
    </row>
    <row r="60">
      <c r="A60" s="3" t="inlineStr">
        <is>
          <t>V059</t>
        </is>
      </c>
      <c r="B60" s="29" t="n">
        <v>46274</v>
      </c>
      <c r="C60" s="3" t="inlineStr">
        <is>
          <t>12:55</t>
        </is>
      </c>
      <c r="D60" s="3" t="inlineStr">
        <is>
          <t>2026-09</t>
        </is>
      </c>
      <c r="E60" s="3" t="n">
        <v>37</v>
      </c>
      <c r="F60" s="3" t="inlineStr">
        <is>
          <t>miércoles</t>
        </is>
      </c>
      <c r="G60" s="3" t="n">
        <v>2</v>
      </c>
      <c r="H60" s="3" t="n">
        <v>12</v>
      </c>
      <c r="I60" s="3" t="inlineStr">
        <is>
          <t>12:00-12:59</t>
        </is>
      </c>
      <c r="J60" s="3" t="inlineStr">
        <is>
          <t>VTC</t>
        </is>
      </c>
      <c r="K60" s="28" t="n">
        <v>8.6</v>
      </c>
      <c r="L60" s="3" t="inlineStr">
        <is>
          <t>efectivo</t>
        </is>
      </c>
      <c r="M60" s="3" t="b">
        <v>0</v>
      </c>
      <c r="N60" s="3" t="b">
        <v>0</v>
      </c>
      <c r="O60" s="3" t="b">
        <v>0</v>
      </c>
      <c r="P60" s="3" t="b">
        <v>1</v>
      </c>
      <c r="Q60" s="3">
        <f>IF(COUNTIF($B$2:B60,B60)=1,1,0)</f>
        <v/>
      </c>
    </row>
    <row r="61">
      <c r="A61" s="3" t="inlineStr">
        <is>
          <t>V060</t>
        </is>
      </c>
      <c r="B61" s="29" t="n">
        <v>46275</v>
      </c>
      <c r="C61" s="3" t="inlineStr">
        <is>
          <t>07:52</t>
        </is>
      </c>
      <c r="D61" s="3" t="inlineStr">
        <is>
          <t>2026-09</t>
        </is>
      </c>
      <c r="E61" s="3" t="n">
        <v>37</v>
      </c>
      <c r="F61" s="3" t="inlineStr">
        <is>
          <t>jueves</t>
        </is>
      </c>
      <c r="G61" s="3" t="n">
        <v>3</v>
      </c>
      <c r="H61" s="3" t="n">
        <v>7</v>
      </c>
      <c r="I61" s="3" t="inlineStr">
        <is>
          <t>07:00-07:59</t>
        </is>
      </c>
      <c r="J61" s="3" t="inlineStr">
        <is>
          <t>VTC</t>
        </is>
      </c>
      <c r="K61" s="28" t="n">
        <v>10.4</v>
      </c>
      <c r="L61" s="3" t="inlineStr">
        <is>
          <t>app</t>
        </is>
      </c>
      <c r="M61" s="3" t="b">
        <v>0</v>
      </c>
      <c r="N61" s="3" t="b">
        <v>0</v>
      </c>
      <c r="O61" s="3" t="b">
        <v>0</v>
      </c>
      <c r="P61" s="3" t="b">
        <v>1</v>
      </c>
      <c r="Q61" s="3">
        <f>IF(COUNTIF($B$2:B61,B61)=1,1,0)</f>
        <v/>
      </c>
    </row>
    <row r="62">
      <c r="A62" s="3" t="inlineStr">
        <is>
          <t>V061</t>
        </is>
      </c>
      <c r="B62" s="29" t="n">
        <v>46275</v>
      </c>
      <c r="C62" s="3" t="inlineStr">
        <is>
          <t>08:15</t>
        </is>
      </c>
      <c r="D62" s="3" t="inlineStr">
        <is>
          <t>2026-09</t>
        </is>
      </c>
      <c r="E62" s="3" t="n">
        <v>37</v>
      </c>
      <c r="F62" s="3" t="inlineStr">
        <is>
          <t>jueves</t>
        </is>
      </c>
      <c r="G62" s="3" t="n">
        <v>3</v>
      </c>
      <c r="H62" s="3" t="n">
        <v>8</v>
      </c>
      <c r="I62" s="3" t="inlineStr">
        <is>
          <t>08:00-08:59</t>
        </is>
      </c>
      <c r="J62" s="3" t="inlineStr">
        <is>
          <t>VTC Eco</t>
        </is>
      </c>
      <c r="K62" s="28" t="n">
        <v>17.92</v>
      </c>
      <c r="L62" s="3" t="inlineStr">
        <is>
          <t>app</t>
        </is>
      </c>
      <c r="M62" s="3" t="b">
        <v>0</v>
      </c>
      <c r="N62" s="3" t="b">
        <v>0</v>
      </c>
      <c r="O62" s="3" t="b">
        <v>0</v>
      </c>
      <c r="P62" s="3" t="b">
        <v>1</v>
      </c>
      <c r="Q62" s="3">
        <f>IF(COUNTIF($B$2:B62,B62)=1,1,0)</f>
        <v/>
      </c>
    </row>
    <row r="63">
      <c r="A63" s="3" t="inlineStr">
        <is>
          <t>V062</t>
        </is>
      </c>
      <c r="B63" s="29" t="n">
        <v>46275</v>
      </c>
      <c r="C63" s="3" t="inlineStr">
        <is>
          <t>09:06</t>
        </is>
      </c>
      <c r="D63" s="3" t="inlineStr">
        <is>
          <t>2026-09</t>
        </is>
      </c>
      <c r="E63" s="3" t="n">
        <v>37</v>
      </c>
      <c r="F63" s="3" t="inlineStr">
        <is>
          <t>jueves</t>
        </is>
      </c>
      <c r="G63" s="3" t="n">
        <v>3</v>
      </c>
      <c r="H63" s="3" t="n">
        <v>9</v>
      </c>
      <c r="I63" s="3" t="inlineStr">
        <is>
          <t>09:00-09:59</t>
        </is>
      </c>
      <c r="J63" s="3" t="inlineStr">
        <is>
          <t>VTC</t>
        </is>
      </c>
      <c r="K63" s="28" t="n">
        <v>7.52</v>
      </c>
      <c r="L63" s="3" t="inlineStr">
        <is>
          <t>efectivo</t>
        </is>
      </c>
      <c r="M63" s="3" t="b">
        <v>0</v>
      </c>
      <c r="N63" s="3" t="b">
        <v>0</v>
      </c>
      <c r="O63" s="3" t="b">
        <v>0</v>
      </c>
      <c r="P63" s="3" t="b">
        <v>1</v>
      </c>
      <c r="Q63" s="3">
        <f>IF(COUNTIF($B$2:B63,B63)=1,1,0)</f>
        <v/>
      </c>
    </row>
    <row r="64">
      <c r="A64" s="3" t="inlineStr">
        <is>
          <t>V063</t>
        </is>
      </c>
      <c r="B64" s="29" t="n">
        <v>46275</v>
      </c>
      <c r="C64" s="3" t="inlineStr">
        <is>
          <t>09:36</t>
        </is>
      </c>
      <c r="D64" s="3" t="inlineStr">
        <is>
          <t>2026-09</t>
        </is>
      </c>
      <c r="E64" s="3" t="n">
        <v>37</v>
      </c>
      <c r="F64" s="3" t="inlineStr">
        <is>
          <t>jueves</t>
        </is>
      </c>
      <c r="G64" s="3" t="n">
        <v>3</v>
      </c>
      <c r="H64" s="3" t="n">
        <v>9</v>
      </c>
      <c r="I64" s="3" t="inlineStr">
        <is>
          <t>09:00-09:59</t>
        </is>
      </c>
      <c r="J64" s="3" t="inlineStr">
        <is>
          <t>VTC</t>
        </is>
      </c>
      <c r="K64" s="28" t="n">
        <v>7.75</v>
      </c>
      <c r="L64" s="3" t="inlineStr">
        <is>
          <t>app</t>
        </is>
      </c>
      <c r="M64" s="3" t="b">
        <v>0</v>
      </c>
      <c r="N64" s="3" t="b">
        <v>0</v>
      </c>
      <c r="O64" s="3" t="b">
        <v>0</v>
      </c>
      <c r="P64" s="3" t="b">
        <v>1</v>
      </c>
      <c r="Q64" s="3">
        <f>IF(COUNTIF($B$2:B64,B64)=1,1,0)</f>
        <v/>
      </c>
    </row>
    <row r="65">
      <c r="A65" s="3" t="inlineStr">
        <is>
          <t>V064</t>
        </is>
      </c>
      <c r="B65" s="29" t="n">
        <v>46275</v>
      </c>
      <c r="C65" s="3" t="inlineStr">
        <is>
          <t>10:33</t>
        </is>
      </c>
      <c r="D65" s="3" t="inlineStr">
        <is>
          <t>2026-09</t>
        </is>
      </c>
      <c r="E65" s="3" t="n">
        <v>37</v>
      </c>
      <c r="F65" s="3" t="inlineStr">
        <is>
          <t>jueves</t>
        </is>
      </c>
      <c r="G65" s="3" t="n">
        <v>3</v>
      </c>
      <c r="H65" s="3" t="n">
        <v>10</v>
      </c>
      <c r="I65" s="3" t="inlineStr">
        <is>
          <t>10:00-10:59</t>
        </is>
      </c>
      <c r="J65" s="3" t="inlineStr">
        <is>
          <t>VTC</t>
        </is>
      </c>
      <c r="K65" s="28" t="n">
        <v>10.31</v>
      </c>
      <c r="L65" s="3" t="inlineStr">
        <is>
          <t>app</t>
        </is>
      </c>
      <c r="M65" s="3" t="b">
        <v>0</v>
      </c>
      <c r="N65" s="3" t="b">
        <v>0</v>
      </c>
      <c r="O65" s="3" t="b">
        <v>0</v>
      </c>
      <c r="P65" s="3" t="b">
        <v>1</v>
      </c>
      <c r="Q65" s="3">
        <f>IF(COUNTIF($B$2:B65,B65)=1,1,0)</f>
        <v/>
      </c>
    </row>
    <row r="66">
      <c r="A66" s="3" t="inlineStr">
        <is>
          <t>V065</t>
        </is>
      </c>
      <c r="B66" s="29" t="n">
        <v>46275</v>
      </c>
      <c r="C66" s="3" t="inlineStr">
        <is>
          <t>10:57</t>
        </is>
      </c>
      <c r="D66" s="3" t="inlineStr">
        <is>
          <t>2026-09</t>
        </is>
      </c>
      <c r="E66" s="3" t="n">
        <v>37</v>
      </c>
      <c r="F66" s="3" t="inlineStr">
        <is>
          <t>jueves</t>
        </is>
      </c>
      <c r="G66" s="3" t="n">
        <v>3</v>
      </c>
      <c r="H66" s="3" t="n">
        <v>10</v>
      </c>
      <c r="I66" s="3" t="inlineStr">
        <is>
          <t>10:00-10:59</t>
        </is>
      </c>
      <c r="J66" s="3" t="inlineStr">
        <is>
          <t>VTC Eco</t>
        </is>
      </c>
      <c r="K66" s="28" t="n">
        <v>6</v>
      </c>
      <c r="L66" s="3" t="inlineStr">
        <is>
          <t>app</t>
        </is>
      </c>
      <c r="M66" s="3" t="b">
        <v>0</v>
      </c>
      <c r="N66" s="3" t="b">
        <v>1</v>
      </c>
      <c r="O66" s="3" t="b">
        <v>0</v>
      </c>
      <c r="P66" s="3" t="b">
        <v>1</v>
      </c>
      <c r="Q66" s="3">
        <f>IF(COUNTIF($B$2:B66,B66)=1,1,0)</f>
        <v/>
      </c>
    </row>
    <row r="67">
      <c r="A67" s="3" t="inlineStr">
        <is>
          <t>V066</t>
        </is>
      </c>
      <c r="B67" s="29" t="n">
        <v>46276</v>
      </c>
      <c r="C67" s="3" t="inlineStr">
        <is>
          <t>06:25</t>
        </is>
      </c>
      <c r="D67" s="3" t="inlineStr">
        <is>
          <t>2026-09</t>
        </is>
      </c>
      <c r="E67" s="3" t="n">
        <v>37</v>
      </c>
      <c r="F67" s="3" t="inlineStr">
        <is>
          <t>viernes</t>
        </is>
      </c>
      <c r="G67" s="3" t="n">
        <v>4</v>
      </c>
      <c r="H67" s="3" t="n">
        <v>6</v>
      </c>
      <c r="I67" s="3" t="inlineStr">
        <is>
          <t>06:00-06:59</t>
        </is>
      </c>
      <c r="J67" s="3" t="inlineStr">
        <is>
          <t>Electric</t>
        </is>
      </c>
      <c r="K67" s="28" t="n">
        <v>6</v>
      </c>
      <c r="L67" s="3" t="inlineStr">
        <is>
          <t>efectivo</t>
        </is>
      </c>
      <c r="M67" s="3" t="b">
        <v>0</v>
      </c>
      <c r="N67" s="3" t="b">
        <v>1</v>
      </c>
      <c r="O67" s="3" t="b">
        <v>0</v>
      </c>
      <c r="P67" s="3" t="b">
        <v>1</v>
      </c>
      <c r="Q67" s="3">
        <f>IF(COUNTIF($B$2:B67,B67)=1,1,0)</f>
        <v/>
      </c>
    </row>
    <row r="68">
      <c r="A68" s="3" t="inlineStr">
        <is>
          <t>V067</t>
        </is>
      </c>
      <c r="B68" s="29" t="n">
        <v>46276</v>
      </c>
      <c r="C68" s="3" t="inlineStr">
        <is>
          <t>06:50</t>
        </is>
      </c>
      <c r="D68" s="3" t="inlineStr">
        <is>
          <t>2026-09</t>
        </is>
      </c>
      <c r="E68" s="3" t="n">
        <v>37</v>
      </c>
      <c r="F68" s="3" t="inlineStr">
        <is>
          <t>viernes</t>
        </is>
      </c>
      <c r="G68" s="3" t="n">
        <v>4</v>
      </c>
      <c r="H68" s="3" t="n">
        <v>6</v>
      </c>
      <c r="I68" s="3" t="inlineStr">
        <is>
          <t>06:00-06:59</t>
        </is>
      </c>
      <c r="J68" s="3" t="inlineStr">
        <is>
          <t>VTC Airport</t>
        </is>
      </c>
      <c r="K68" s="28" t="n">
        <v>25.23</v>
      </c>
      <c r="L68" s="3" t="inlineStr">
        <is>
          <t>app</t>
        </is>
      </c>
      <c r="M68" s="3" t="b">
        <v>0</v>
      </c>
      <c r="N68" s="3" t="b">
        <v>0</v>
      </c>
      <c r="O68" s="3" t="b">
        <v>1</v>
      </c>
      <c r="P68" s="3" t="b">
        <v>1</v>
      </c>
      <c r="Q68" s="3">
        <f>IF(COUNTIF($B$2:B68,B68)=1,1,0)</f>
        <v/>
      </c>
    </row>
    <row r="69">
      <c r="A69" s="3" t="inlineStr">
        <is>
          <t>V068</t>
        </is>
      </c>
      <c r="B69" s="29" t="n">
        <v>46276</v>
      </c>
      <c r="C69" s="3" t="inlineStr">
        <is>
          <t>07:48</t>
        </is>
      </c>
      <c r="D69" s="3" t="inlineStr">
        <is>
          <t>2026-09</t>
        </is>
      </c>
      <c r="E69" s="3" t="n">
        <v>37</v>
      </c>
      <c r="F69" s="3" t="inlineStr">
        <is>
          <t>viernes</t>
        </is>
      </c>
      <c r="G69" s="3" t="n">
        <v>4</v>
      </c>
      <c r="H69" s="3" t="n">
        <v>7</v>
      </c>
      <c r="I69" s="3" t="inlineStr">
        <is>
          <t>07:00-07:59</t>
        </is>
      </c>
      <c r="J69" s="3" t="inlineStr">
        <is>
          <t>VTC</t>
        </is>
      </c>
      <c r="K69" s="28" t="n">
        <v>11.28</v>
      </c>
      <c r="L69" s="3" t="inlineStr">
        <is>
          <t>app</t>
        </is>
      </c>
      <c r="M69" s="3" t="b">
        <v>0</v>
      </c>
      <c r="N69" s="3" t="b">
        <v>0</v>
      </c>
      <c r="O69" s="3" t="b">
        <v>0</v>
      </c>
      <c r="P69" s="3" t="b">
        <v>1</v>
      </c>
      <c r="Q69" s="3">
        <f>IF(COUNTIF($B$2:B69,B69)=1,1,0)</f>
        <v/>
      </c>
    </row>
    <row r="70">
      <c r="A70" s="3" t="inlineStr">
        <is>
          <t>V069</t>
        </is>
      </c>
      <c r="B70" s="29" t="n">
        <v>46276</v>
      </c>
      <c r="C70" s="3" t="inlineStr">
        <is>
          <t>08:15</t>
        </is>
      </c>
      <c r="D70" s="3" t="inlineStr">
        <is>
          <t>2026-09</t>
        </is>
      </c>
      <c r="E70" s="3" t="n">
        <v>37</v>
      </c>
      <c r="F70" s="3" t="inlineStr">
        <is>
          <t>viernes</t>
        </is>
      </c>
      <c r="G70" s="3" t="n">
        <v>4</v>
      </c>
      <c r="H70" s="3" t="n">
        <v>8</v>
      </c>
      <c r="I70" s="3" t="inlineStr">
        <is>
          <t>08:00-08:59</t>
        </is>
      </c>
      <c r="J70" s="3" t="inlineStr">
        <is>
          <t>VTC</t>
        </is>
      </c>
      <c r="K70" s="28" t="n">
        <v>32.83</v>
      </c>
      <c r="L70" s="3" t="inlineStr">
        <is>
          <t>app</t>
        </is>
      </c>
      <c r="M70" s="3" t="b">
        <v>0</v>
      </c>
      <c r="N70" s="3" t="b">
        <v>0</v>
      </c>
      <c r="O70" s="3" t="b">
        <v>0</v>
      </c>
      <c r="P70" s="3" t="b">
        <v>1</v>
      </c>
      <c r="Q70" s="3">
        <f>IF(COUNTIF($B$2:B70,B70)=1,1,0)</f>
        <v/>
      </c>
    </row>
    <row r="71">
      <c r="A71" s="3" t="inlineStr">
        <is>
          <t>V070</t>
        </is>
      </c>
      <c r="B71" s="29" t="n">
        <v>46276</v>
      </c>
      <c r="C71" s="3" t="inlineStr">
        <is>
          <t>08:51</t>
        </is>
      </c>
      <c r="D71" s="3" t="inlineStr">
        <is>
          <t>2026-09</t>
        </is>
      </c>
      <c r="E71" s="3" t="n">
        <v>37</v>
      </c>
      <c r="F71" s="3" t="inlineStr">
        <is>
          <t>viernes</t>
        </is>
      </c>
      <c r="G71" s="3" t="n">
        <v>4</v>
      </c>
      <c r="H71" s="3" t="n">
        <v>8</v>
      </c>
      <c r="I71" s="3" t="inlineStr">
        <is>
          <t>08:00-08:59</t>
        </is>
      </c>
      <c r="J71" s="3" t="inlineStr">
        <is>
          <t>VTC Promo</t>
        </is>
      </c>
      <c r="K71" s="28" t="n">
        <v>16.98</v>
      </c>
      <c r="L71" s="3" t="inlineStr">
        <is>
          <t>app</t>
        </is>
      </c>
      <c r="M71" s="3" t="b">
        <v>0</v>
      </c>
      <c r="N71" s="3" t="b">
        <v>0</v>
      </c>
      <c r="O71" s="3" t="b">
        <v>0</v>
      </c>
      <c r="P71" s="3" t="b">
        <v>1</v>
      </c>
      <c r="Q71" s="3">
        <f>IF(COUNTIF($B$2:B71,B71)=1,1,0)</f>
        <v/>
      </c>
    </row>
    <row r="72">
      <c r="A72" s="3" t="inlineStr">
        <is>
          <t>V071</t>
        </is>
      </c>
      <c r="B72" s="29" t="n">
        <v>46276</v>
      </c>
      <c r="C72" s="3" t="inlineStr">
        <is>
          <t>10:46</t>
        </is>
      </c>
      <c r="D72" s="3" t="inlineStr">
        <is>
          <t>2026-09</t>
        </is>
      </c>
      <c r="E72" s="3" t="n">
        <v>37</v>
      </c>
      <c r="F72" s="3" t="inlineStr">
        <is>
          <t>viernes</t>
        </is>
      </c>
      <c r="G72" s="3" t="n">
        <v>4</v>
      </c>
      <c r="H72" s="3" t="n">
        <v>10</v>
      </c>
      <c r="I72" s="3" t="inlineStr">
        <is>
          <t>10:00-10:59</t>
        </is>
      </c>
      <c r="J72" s="3" t="inlineStr">
        <is>
          <t>VTC</t>
        </is>
      </c>
      <c r="K72" s="28" t="n">
        <v>6</v>
      </c>
      <c r="L72" s="3" t="inlineStr">
        <is>
          <t>app</t>
        </is>
      </c>
      <c r="M72" s="3" t="b">
        <v>0</v>
      </c>
      <c r="N72" s="3" t="b">
        <v>1</v>
      </c>
      <c r="O72" s="3" t="b">
        <v>0</v>
      </c>
      <c r="P72" s="3" t="b">
        <v>1</v>
      </c>
      <c r="Q72" s="3">
        <f>IF(COUNTIF($B$2:B72,B72)=1,1,0)</f>
        <v/>
      </c>
    </row>
    <row r="73">
      <c r="A73" s="3" t="inlineStr">
        <is>
          <t>V072</t>
        </is>
      </c>
      <c r="B73" s="29" t="n">
        <v>46276</v>
      </c>
      <c r="C73" s="3" t="inlineStr">
        <is>
          <t>11:34</t>
        </is>
      </c>
      <c r="D73" s="3" t="inlineStr">
        <is>
          <t>2026-09</t>
        </is>
      </c>
      <c r="E73" s="3" t="n">
        <v>37</v>
      </c>
      <c r="F73" s="3" t="inlineStr">
        <is>
          <t>viernes</t>
        </is>
      </c>
      <c r="G73" s="3" t="n">
        <v>4</v>
      </c>
      <c r="H73" s="3" t="n">
        <v>11</v>
      </c>
      <c r="I73" s="3" t="inlineStr">
        <is>
          <t>11:00-11:59</t>
        </is>
      </c>
      <c r="J73" s="3" t="inlineStr">
        <is>
          <t>VTC</t>
        </is>
      </c>
      <c r="K73" s="28" t="n">
        <v>7.88</v>
      </c>
      <c r="L73" s="3" t="inlineStr">
        <is>
          <t>app</t>
        </is>
      </c>
      <c r="M73" s="3" t="b">
        <v>0</v>
      </c>
      <c r="N73" s="3" t="b">
        <v>0</v>
      </c>
      <c r="O73" s="3" t="b">
        <v>0</v>
      </c>
      <c r="P73" s="3" t="b">
        <v>1</v>
      </c>
      <c r="Q73" s="3">
        <f>IF(COUNTIF($B$2:B73,B73)=1,1,0)</f>
        <v/>
      </c>
    </row>
    <row r="74">
      <c r="A74" s="3" t="inlineStr">
        <is>
          <t>V073</t>
        </is>
      </c>
      <c r="B74" s="29" t="n">
        <v>46279</v>
      </c>
      <c r="C74" s="3" t="inlineStr">
        <is>
          <t>06:36</t>
        </is>
      </c>
      <c r="D74" s="3" t="inlineStr">
        <is>
          <t>2026-09</t>
        </is>
      </c>
      <c r="E74" s="3" t="n">
        <v>38</v>
      </c>
      <c r="F74" s="3" t="inlineStr">
        <is>
          <t>lunes</t>
        </is>
      </c>
      <c r="G74" s="3" t="n">
        <v>0</v>
      </c>
      <c r="H74" s="3" t="n">
        <v>6</v>
      </c>
      <c r="I74" s="3" t="inlineStr">
        <is>
          <t>06:00-06:59</t>
        </is>
      </c>
      <c r="J74" s="3" t="inlineStr">
        <is>
          <t>VTC Airport</t>
        </is>
      </c>
      <c r="K74" s="28" t="n">
        <v>15.9</v>
      </c>
      <c r="L74" s="3" t="inlineStr">
        <is>
          <t>app</t>
        </is>
      </c>
      <c r="M74" s="3" t="b">
        <v>0</v>
      </c>
      <c r="N74" s="3" t="b">
        <v>0</v>
      </c>
      <c r="O74" s="3" t="b">
        <v>1</v>
      </c>
      <c r="P74" s="3" t="b">
        <v>1</v>
      </c>
      <c r="Q74" s="3">
        <f>IF(COUNTIF($B$2:B74,B74)=1,1,0)</f>
        <v/>
      </c>
    </row>
    <row r="75">
      <c r="A75" s="3" t="inlineStr">
        <is>
          <t>V074</t>
        </is>
      </c>
      <c r="B75" s="29" t="n">
        <v>46279</v>
      </c>
      <c r="C75" s="3" t="inlineStr">
        <is>
          <t>07:52</t>
        </is>
      </c>
      <c r="D75" s="3" t="inlineStr">
        <is>
          <t>2026-09</t>
        </is>
      </c>
      <c r="E75" s="3" t="n">
        <v>38</v>
      </c>
      <c r="F75" s="3" t="inlineStr">
        <is>
          <t>lunes</t>
        </is>
      </c>
      <c r="G75" s="3" t="n">
        <v>0</v>
      </c>
      <c r="H75" s="3" t="n">
        <v>7</v>
      </c>
      <c r="I75" s="3" t="inlineStr">
        <is>
          <t>07:00-07:59</t>
        </is>
      </c>
      <c r="J75" s="3" t="inlineStr">
        <is>
          <t>VTC</t>
        </is>
      </c>
      <c r="K75" s="28" t="n">
        <v>0</v>
      </c>
      <c r="L75" s="3" t="inlineStr">
        <is>
          <t>efectivo</t>
        </is>
      </c>
      <c r="M75" s="3" t="b">
        <v>1</v>
      </c>
      <c r="N75" s="3" t="b">
        <v>0</v>
      </c>
      <c r="O75" s="3" t="b">
        <v>0</v>
      </c>
      <c r="P75" s="3" t="b">
        <v>1</v>
      </c>
      <c r="Q75" s="3">
        <f>IF(COUNTIF($B$2:B75,B75)=1,1,0)</f>
        <v/>
      </c>
    </row>
    <row r="76">
      <c r="A76" s="3" t="inlineStr">
        <is>
          <t>V075</t>
        </is>
      </c>
      <c r="B76" s="29" t="n">
        <v>46279</v>
      </c>
      <c r="C76" s="3" t="inlineStr">
        <is>
          <t>07:54</t>
        </is>
      </c>
      <c r="D76" s="3" t="inlineStr">
        <is>
          <t>2026-09</t>
        </is>
      </c>
      <c r="E76" s="3" t="n">
        <v>38</v>
      </c>
      <c r="F76" s="3" t="inlineStr">
        <is>
          <t>lunes</t>
        </is>
      </c>
      <c r="G76" s="3" t="n">
        <v>0</v>
      </c>
      <c r="H76" s="3" t="n">
        <v>7</v>
      </c>
      <c r="I76" s="3" t="inlineStr">
        <is>
          <t>07:00-07:59</t>
        </is>
      </c>
      <c r="J76" s="3" t="inlineStr">
        <is>
          <t>VTC</t>
        </is>
      </c>
      <c r="K76" s="28" t="n">
        <v>22.83</v>
      </c>
      <c r="L76" s="3" t="inlineStr">
        <is>
          <t>efectivo</t>
        </is>
      </c>
      <c r="M76" s="3" t="b">
        <v>0</v>
      </c>
      <c r="N76" s="3" t="b">
        <v>0</v>
      </c>
      <c r="O76" s="3" t="b">
        <v>0</v>
      </c>
      <c r="P76" s="3" t="b">
        <v>1</v>
      </c>
      <c r="Q76" s="3">
        <f>IF(COUNTIF($B$2:B76,B76)=1,1,0)</f>
        <v/>
      </c>
    </row>
    <row r="77">
      <c r="A77" s="3" t="inlineStr">
        <is>
          <t>V076</t>
        </is>
      </c>
      <c r="B77" s="29" t="n">
        <v>46279</v>
      </c>
      <c r="C77" s="3" t="inlineStr">
        <is>
          <t>08:37</t>
        </is>
      </c>
      <c r="D77" s="3" t="inlineStr">
        <is>
          <t>2026-09</t>
        </is>
      </c>
      <c r="E77" s="3" t="n">
        <v>38</v>
      </c>
      <c r="F77" s="3" t="inlineStr">
        <is>
          <t>lunes</t>
        </is>
      </c>
      <c r="G77" s="3" t="n">
        <v>0</v>
      </c>
      <c r="H77" s="3" t="n">
        <v>8</v>
      </c>
      <c r="I77" s="3" t="inlineStr">
        <is>
          <t>08:00-08:59</t>
        </is>
      </c>
      <c r="J77" s="3" t="inlineStr">
        <is>
          <t>VTC</t>
        </is>
      </c>
      <c r="K77" s="28" t="n">
        <v>17.17</v>
      </c>
      <c r="L77" s="3" t="inlineStr">
        <is>
          <t>efectivo</t>
        </is>
      </c>
      <c r="M77" s="3" t="b">
        <v>0</v>
      </c>
      <c r="N77" s="3" t="b">
        <v>0</v>
      </c>
      <c r="O77" s="3" t="b">
        <v>0</v>
      </c>
      <c r="P77" s="3" t="b">
        <v>1</v>
      </c>
      <c r="Q77" s="3">
        <f>IF(COUNTIF($B$2:B77,B77)=1,1,0)</f>
        <v/>
      </c>
    </row>
    <row r="78">
      <c r="A78" s="3" t="inlineStr">
        <is>
          <t>V077</t>
        </is>
      </c>
      <c r="B78" s="29" t="n">
        <v>46279</v>
      </c>
      <c r="C78" s="3" t="inlineStr">
        <is>
          <t>09:13</t>
        </is>
      </c>
      <c r="D78" s="3" t="inlineStr">
        <is>
          <t>2026-09</t>
        </is>
      </c>
      <c r="E78" s="3" t="n">
        <v>38</v>
      </c>
      <c r="F78" s="3" t="inlineStr">
        <is>
          <t>lunes</t>
        </is>
      </c>
      <c r="G78" s="3" t="n">
        <v>0</v>
      </c>
      <c r="H78" s="3" t="n">
        <v>9</v>
      </c>
      <c r="I78" s="3" t="inlineStr">
        <is>
          <t>09:00-09:59</t>
        </is>
      </c>
      <c r="J78" s="3" t="inlineStr">
        <is>
          <t>VTC Eco</t>
        </is>
      </c>
      <c r="K78" s="28" t="n">
        <v>0</v>
      </c>
      <c r="L78" s="3" t="inlineStr">
        <is>
          <t>app</t>
        </is>
      </c>
      <c r="M78" s="3" t="b">
        <v>1</v>
      </c>
      <c r="N78" s="3" t="b">
        <v>0</v>
      </c>
      <c r="O78" s="3" t="b">
        <v>0</v>
      </c>
      <c r="P78" s="3" t="b">
        <v>1</v>
      </c>
      <c r="Q78" s="3">
        <f>IF(COUNTIF($B$2:B78,B78)=1,1,0)</f>
        <v/>
      </c>
    </row>
    <row r="79">
      <c r="A79" s="3" t="inlineStr">
        <is>
          <t>V078</t>
        </is>
      </c>
      <c r="B79" s="29" t="n">
        <v>46279</v>
      </c>
      <c r="C79" s="3" t="inlineStr">
        <is>
          <t>09:13</t>
        </is>
      </c>
      <c r="D79" s="3" t="inlineStr">
        <is>
          <t>2026-09</t>
        </is>
      </c>
      <c r="E79" s="3" t="n">
        <v>38</v>
      </c>
      <c r="F79" s="3" t="inlineStr">
        <is>
          <t>lunes</t>
        </is>
      </c>
      <c r="G79" s="3" t="n">
        <v>0</v>
      </c>
      <c r="H79" s="3" t="n">
        <v>9</v>
      </c>
      <c r="I79" s="3" t="inlineStr">
        <is>
          <t>09:00-09:59</t>
        </is>
      </c>
      <c r="J79" s="3" t="inlineStr">
        <is>
          <t>VTC Eco</t>
        </is>
      </c>
      <c r="K79" s="28" t="n">
        <v>0</v>
      </c>
      <c r="L79" s="3" t="inlineStr">
        <is>
          <t>app</t>
        </is>
      </c>
      <c r="M79" s="3" t="b">
        <v>1</v>
      </c>
      <c r="N79" s="3" t="b">
        <v>0</v>
      </c>
      <c r="O79" s="3" t="b">
        <v>0</v>
      </c>
      <c r="P79" s="3" t="b">
        <v>1</v>
      </c>
      <c r="Q79" s="3">
        <f>IF(COUNTIF($B$2:B79,B79)=1,1,0)</f>
        <v/>
      </c>
    </row>
    <row r="80">
      <c r="A80" s="3" t="inlineStr">
        <is>
          <t>V079</t>
        </is>
      </c>
      <c r="B80" s="29" t="n">
        <v>46279</v>
      </c>
      <c r="C80" s="3" t="inlineStr">
        <is>
          <t>09:17</t>
        </is>
      </c>
      <c r="D80" s="3" t="inlineStr">
        <is>
          <t>2026-09</t>
        </is>
      </c>
      <c r="E80" s="3" t="n">
        <v>38</v>
      </c>
      <c r="F80" s="3" t="inlineStr">
        <is>
          <t>lunes</t>
        </is>
      </c>
      <c r="G80" s="3" t="n">
        <v>0</v>
      </c>
      <c r="H80" s="3" t="n">
        <v>9</v>
      </c>
      <c r="I80" s="3" t="inlineStr">
        <is>
          <t>09:00-09:59</t>
        </is>
      </c>
      <c r="J80" s="3" t="inlineStr">
        <is>
          <t>VTC</t>
        </is>
      </c>
      <c r="K80" s="28" t="n">
        <v>0</v>
      </c>
      <c r="L80" s="3" t="inlineStr">
        <is>
          <t>app</t>
        </is>
      </c>
      <c r="M80" s="3" t="b">
        <v>1</v>
      </c>
      <c r="N80" s="3" t="b">
        <v>0</v>
      </c>
      <c r="O80" s="3" t="b">
        <v>0</v>
      </c>
      <c r="P80" s="3" t="b">
        <v>1</v>
      </c>
      <c r="Q80" s="3">
        <f>IF(COUNTIF($B$2:B80,B80)=1,1,0)</f>
        <v/>
      </c>
    </row>
    <row r="81">
      <c r="A81" s="3" t="inlineStr">
        <is>
          <t>V080</t>
        </is>
      </c>
      <c r="B81" s="29" t="n">
        <v>46279</v>
      </c>
      <c r="C81" s="3" t="inlineStr">
        <is>
          <t>09:40</t>
        </is>
      </c>
      <c r="D81" s="3" t="inlineStr">
        <is>
          <t>2026-09</t>
        </is>
      </c>
      <c r="E81" s="3" t="n">
        <v>38</v>
      </c>
      <c r="F81" s="3" t="inlineStr">
        <is>
          <t>lunes</t>
        </is>
      </c>
      <c r="G81" s="3" t="n">
        <v>0</v>
      </c>
      <c r="H81" s="3" t="n">
        <v>9</v>
      </c>
      <c r="I81" s="3" t="inlineStr">
        <is>
          <t>09:00-09:59</t>
        </is>
      </c>
      <c r="J81" s="3" t="inlineStr">
        <is>
          <t>VTC</t>
        </is>
      </c>
      <c r="K81" s="28" t="n">
        <v>12.4</v>
      </c>
      <c r="L81" s="3" t="inlineStr">
        <is>
          <t>app</t>
        </is>
      </c>
      <c r="M81" s="3" t="b">
        <v>0</v>
      </c>
      <c r="N81" s="3" t="b">
        <v>0</v>
      </c>
      <c r="O81" s="3" t="b">
        <v>0</v>
      </c>
      <c r="P81" s="3" t="b">
        <v>1</v>
      </c>
      <c r="Q81" s="3">
        <f>IF(COUNTIF($B$2:B81,B81)=1,1,0)</f>
        <v/>
      </c>
    </row>
    <row r="82">
      <c r="A82" s="3" t="inlineStr">
        <is>
          <t>V081</t>
        </is>
      </c>
      <c r="B82" s="29" t="n">
        <v>46279</v>
      </c>
      <c r="C82" s="3" t="inlineStr">
        <is>
          <t>10:26</t>
        </is>
      </c>
      <c r="D82" s="3" t="inlineStr">
        <is>
          <t>2026-09</t>
        </is>
      </c>
      <c r="E82" s="3" t="n">
        <v>38</v>
      </c>
      <c r="F82" s="3" t="inlineStr">
        <is>
          <t>lunes</t>
        </is>
      </c>
      <c r="G82" s="3" t="n">
        <v>0</v>
      </c>
      <c r="H82" s="3" t="n">
        <v>10</v>
      </c>
      <c r="I82" s="3" t="inlineStr">
        <is>
          <t>10:00-10:59</t>
        </is>
      </c>
      <c r="J82" s="3" t="inlineStr">
        <is>
          <t>VTC</t>
        </is>
      </c>
      <c r="K82" s="28" t="n">
        <v>6</v>
      </c>
      <c r="L82" s="3" t="inlineStr">
        <is>
          <t>app</t>
        </is>
      </c>
      <c r="M82" s="3" t="b">
        <v>0</v>
      </c>
      <c r="N82" s="3" t="b">
        <v>1</v>
      </c>
      <c r="O82" s="3" t="b">
        <v>0</v>
      </c>
      <c r="P82" s="3" t="b">
        <v>1</v>
      </c>
      <c r="Q82" s="3">
        <f>IF(COUNTIF($B$2:B82,B82)=1,1,0)</f>
        <v/>
      </c>
    </row>
    <row r="83">
      <c r="A83" s="3" t="inlineStr">
        <is>
          <t>V082</t>
        </is>
      </c>
      <c r="B83" s="29" t="n">
        <v>46279</v>
      </c>
      <c r="C83" s="3" t="inlineStr">
        <is>
          <t>10:38</t>
        </is>
      </c>
      <c r="D83" s="3" t="inlineStr">
        <is>
          <t>2026-09</t>
        </is>
      </c>
      <c r="E83" s="3" t="n">
        <v>38</v>
      </c>
      <c r="F83" s="3" t="inlineStr">
        <is>
          <t>lunes</t>
        </is>
      </c>
      <c r="G83" s="3" t="n">
        <v>0</v>
      </c>
      <c r="H83" s="3" t="n">
        <v>10</v>
      </c>
      <c r="I83" s="3" t="inlineStr">
        <is>
          <t>10:00-10:59</t>
        </is>
      </c>
      <c r="J83" s="3" t="inlineStr">
        <is>
          <t>VTC</t>
        </is>
      </c>
      <c r="K83" s="28" t="n">
        <v>6</v>
      </c>
      <c r="L83" s="3" t="inlineStr">
        <is>
          <t>app</t>
        </is>
      </c>
      <c r="M83" s="3" t="b">
        <v>0</v>
      </c>
      <c r="N83" s="3" t="b">
        <v>1</v>
      </c>
      <c r="O83" s="3" t="b">
        <v>0</v>
      </c>
      <c r="P83" s="3" t="b">
        <v>1</v>
      </c>
      <c r="Q83" s="3">
        <f>IF(COUNTIF($B$2:B83,B83)=1,1,0)</f>
        <v/>
      </c>
    </row>
    <row r="84">
      <c r="A84" s="3" t="inlineStr">
        <is>
          <t>V083</t>
        </is>
      </c>
      <c r="B84" s="29" t="n">
        <v>46279</v>
      </c>
      <c r="C84" s="3" t="inlineStr">
        <is>
          <t>11:46</t>
        </is>
      </c>
      <c r="D84" s="3" t="inlineStr">
        <is>
          <t>2026-09</t>
        </is>
      </c>
      <c r="E84" s="3" t="n">
        <v>38</v>
      </c>
      <c r="F84" s="3" t="inlineStr">
        <is>
          <t>lunes</t>
        </is>
      </c>
      <c r="G84" s="3" t="n">
        <v>0</v>
      </c>
      <c r="H84" s="3" t="n">
        <v>11</v>
      </c>
      <c r="I84" s="3" t="inlineStr">
        <is>
          <t>11:00-11:59</t>
        </is>
      </c>
      <c r="J84" s="3" t="inlineStr">
        <is>
          <t>VTC</t>
        </is>
      </c>
      <c r="K84" s="28" t="n">
        <v>6</v>
      </c>
      <c r="L84" s="3" t="inlineStr">
        <is>
          <t>app</t>
        </is>
      </c>
      <c r="M84" s="3" t="b">
        <v>0</v>
      </c>
      <c r="N84" s="3" t="b">
        <v>1</v>
      </c>
      <c r="O84" s="3" t="b">
        <v>0</v>
      </c>
      <c r="P84" s="3" t="b">
        <v>1</v>
      </c>
      <c r="Q84" s="3">
        <f>IF(COUNTIF($B$2:B84,B84)=1,1,0)</f>
        <v/>
      </c>
    </row>
    <row r="85">
      <c r="A85" s="3" t="inlineStr">
        <is>
          <t>V084</t>
        </is>
      </c>
      <c r="B85" s="29" t="n">
        <v>46279</v>
      </c>
      <c r="C85" s="3" t="inlineStr">
        <is>
          <t>11:59</t>
        </is>
      </c>
      <c r="D85" s="3" t="inlineStr">
        <is>
          <t>2026-09</t>
        </is>
      </c>
      <c r="E85" s="3" t="n">
        <v>38</v>
      </c>
      <c r="F85" s="3" t="inlineStr">
        <is>
          <t>lunes</t>
        </is>
      </c>
      <c r="G85" s="3" t="n">
        <v>0</v>
      </c>
      <c r="H85" s="3" t="n">
        <v>11</v>
      </c>
      <c r="I85" s="3" t="inlineStr">
        <is>
          <t>11:00-11:59</t>
        </is>
      </c>
      <c r="J85" s="3" t="inlineStr">
        <is>
          <t>VTC</t>
        </is>
      </c>
      <c r="K85" s="28" t="n">
        <v>6.06</v>
      </c>
      <c r="L85" s="3" t="inlineStr">
        <is>
          <t>app</t>
        </is>
      </c>
      <c r="M85" s="3" t="b">
        <v>0</v>
      </c>
      <c r="N85" s="3" t="b">
        <v>0</v>
      </c>
      <c r="O85" s="3" t="b">
        <v>0</v>
      </c>
      <c r="P85" s="3" t="b">
        <v>1</v>
      </c>
      <c r="Q85" s="3">
        <f>IF(COUNTIF($B$2:B85,B85)=1,1,0)</f>
        <v/>
      </c>
    </row>
    <row r="86">
      <c r="A86" s="3" t="inlineStr">
        <is>
          <t>V085</t>
        </is>
      </c>
      <c r="B86" s="29" t="n">
        <v>46280</v>
      </c>
      <c r="C86" s="3" t="inlineStr">
        <is>
          <t>07:24</t>
        </is>
      </c>
      <c r="D86" s="3" t="inlineStr">
        <is>
          <t>2026-09</t>
        </is>
      </c>
      <c r="E86" s="3" t="n">
        <v>38</v>
      </c>
      <c r="F86" s="3" t="inlineStr">
        <is>
          <t>martes</t>
        </is>
      </c>
      <c r="G86" s="3" t="n">
        <v>1</v>
      </c>
      <c r="H86" s="3" t="n">
        <v>7</v>
      </c>
      <c r="I86" s="3" t="inlineStr">
        <is>
          <t>07:00-07:59</t>
        </is>
      </c>
      <c r="J86" s="3" t="inlineStr">
        <is>
          <t>VTC</t>
        </is>
      </c>
      <c r="K86" s="28" t="n">
        <v>6.41</v>
      </c>
      <c r="L86" s="3" t="inlineStr">
        <is>
          <t>app</t>
        </is>
      </c>
      <c r="M86" s="3" t="b">
        <v>0</v>
      </c>
      <c r="N86" s="3" t="b">
        <v>0</v>
      </c>
      <c r="O86" s="3" t="b">
        <v>0</v>
      </c>
      <c r="P86" s="3" t="b">
        <v>1</v>
      </c>
      <c r="Q86" s="3">
        <f>IF(COUNTIF($B$2:B86,B86)=1,1,0)</f>
        <v/>
      </c>
    </row>
    <row r="87">
      <c r="A87" s="3" t="inlineStr">
        <is>
          <t>V086</t>
        </is>
      </c>
      <c r="B87" s="29" t="n">
        <v>46280</v>
      </c>
      <c r="C87" s="3" t="inlineStr">
        <is>
          <t>07:45</t>
        </is>
      </c>
      <c r="D87" s="3" t="inlineStr">
        <is>
          <t>2026-09</t>
        </is>
      </c>
      <c r="E87" s="3" t="n">
        <v>38</v>
      </c>
      <c r="F87" s="3" t="inlineStr">
        <is>
          <t>martes</t>
        </is>
      </c>
      <c r="G87" s="3" t="n">
        <v>1</v>
      </c>
      <c r="H87" s="3" t="n">
        <v>7</v>
      </c>
      <c r="I87" s="3" t="inlineStr">
        <is>
          <t>07:00-07:59</t>
        </is>
      </c>
      <c r="J87" s="3" t="inlineStr">
        <is>
          <t>VTC</t>
        </is>
      </c>
      <c r="K87" s="28" t="n">
        <v>8.91</v>
      </c>
      <c r="L87" s="3" t="inlineStr">
        <is>
          <t>app</t>
        </is>
      </c>
      <c r="M87" s="3" t="b">
        <v>0</v>
      </c>
      <c r="N87" s="3" t="b">
        <v>0</v>
      </c>
      <c r="O87" s="3" t="b">
        <v>0</v>
      </c>
      <c r="P87" s="3" t="b">
        <v>1</v>
      </c>
      <c r="Q87" s="3">
        <f>IF(COUNTIF($B$2:B87,B87)=1,1,0)</f>
        <v/>
      </c>
    </row>
    <row r="88">
      <c r="A88" s="3" t="inlineStr">
        <is>
          <t>V087</t>
        </is>
      </c>
      <c r="B88" s="29" t="n">
        <v>46280</v>
      </c>
      <c r="C88" s="3" t="inlineStr">
        <is>
          <t>08:09</t>
        </is>
      </c>
      <c r="D88" s="3" t="inlineStr">
        <is>
          <t>2026-09</t>
        </is>
      </c>
      <c r="E88" s="3" t="n">
        <v>38</v>
      </c>
      <c r="F88" s="3" t="inlineStr">
        <is>
          <t>martes</t>
        </is>
      </c>
      <c r="G88" s="3" t="n">
        <v>1</v>
      </c>
      <c r="H88" s="3" t="n">
        <v>8</v>
      </c>
      <c r="I88" s="3" t="inlineStr">
        <is>
          <t>08:00-08:59</t>
        </is>
      </c>
      <c r="J88" s="3" t="inlineStr">
        <is>
          <t>VTC</t>
        </is>
      </c>
      <c r="K88" s="28" t="n">
        <v>3.35</v>
      </c>
      <c r="L88" s="3" t="inlineStr">
        <is>
          <t>app</t>
        </is>
      </c>
      <c r="M88" s="3" t="b">
        <v>0</v>
      </c>
      <c r="N88" s="3" t="b">
        <v>0</v>
      </c>
      <c r="O88" s="3" t="b">
        <v>0</v>
      </c>
      <c r="P88" s="3" t="b">
        <v>1</v>
      </c>
      <c r="Q88" s="3">
        <f>IF(COUNTIF($B$2:B88,B88)=1,1,0)</f>
        <v/>
      </c>
    </row>
    <row r="89">
      <c r="A89" s="3" t="inlineStr">
        <is>
          <t>V088</t>
        </is>
      </c>
      <c r="B89" s="29" t="n">
        <v>46280</v>
      </c>
      <c r="C89" s="3" t="inlineStr">
        <is>
          <t>08:12</t>
        </is>
      </c>
      <c r="D89" s="3" t="inlineStr">
        <is>
          <t>2026-09</t>
        </is>
      </c>
      <c r="E89" s="3" t="n">
        <v>38</v>
      </c>
      <c r="F89" s="3" t="inlineStr">
        <is>
          <t>martes</t>
        </is>
      </c>
      <c r="G89" s="3" t="n">
        <v>1</v>
      </c>
      <c r="H89" s="3" t="n">
        <v>8</v>
      </c>
      <c r="I89" s="3" t="inlineStr">
        <is>
          <t>08:00-08:59</t>
        </is>
      </c>
      <c r="J89" s="3" t="inlineStr">
        <is>
          <t>VTC</t>
        </is>
      </c>
      <c r="K89" s="28" t="n">
        <v>27.38</v>
      </c>
      <c r="L89" s="3" t="inlineStr">
        <is>
          <t>app</t>
        </is>
      </c>
      <c r="M89" s="3" t="b">
        <v>0</v>
      </c>
      <c r="N89" s="3" t="b">
        <v>0</v>
      </c>
      <c r="O89" s="3" t="b">
        <v>0</v>
      </c>
      <c r="P89" s="3" t="b">
        <v>1</v>
      </c>
      <c r="Q89" s="3">
        <f>IF(COUNTIF($B$2:B89,B89)=1,1,0)</f>
        <v/>
      </c>
    </row>
    <row r="90">
      <c r="A90" s="3" t="inlineStr">
        <is>
          <t>V089</t>
        </is>
      </c>
      <c r="B90" s="29" t="n">
        <v>46280</v>
      </c>
      <c r="C90" s="3" t="inlineStr">
        <is>
          <t>09:08</t>
        </is>
      </c>
      <c r="D90" s="3" t="inlineStr">
        <is>
          <t>2026-09</t>
        </is>
      </c>
      <c r="E90" s="3" t="n">
        <v>38</v>
      </c>
      <c r="F90" s="3" t="inlineStr">
        <is>
          <t>martes</t>
        </is>
      </c>
      <c r="G90" s="3" t="n">
        <v>1</v>
      </c>
      <c r="H90" s="3" t="n">
        <v>9</v>
      </c>
      <c r="I90" s="3" t="inlineStr">
        <is>
          <t>09:00-09:59</t>
        </is>
      </c>
      <c r="J90" s="3" t="inlineStr">
        <is>
          <t>VTC Eco</t>
        </is>
      </c>
      <c r="K90" s="28" t="n">
        <v>26.04</v>
      </c>
      <c r="L90" s="3" t="inlineStr">
        <is>
          <t>app</t>
        </is>
      </c>
      <c r="M90" s="3" t="b">
        <v>0</v>
      </c>
      <c r="N90" s="3" t="b">
        <v>0</v>
      </c>
      <c r="O90" s="3" t="b">
        <v>0</v>
      </c>
      <c r="P90" s="3" t="b">
        <v>1</v>
      </c>
      <c r="Q90" s="3">
        <f>IF(COUNTIF($B$2:B90,B90)=1,1,0)</f>
        <v/>
      </c>
    </row>
    <row r="91">
      <c r="A91" s="3" t="inlineStr">
        <is>
          <t>V090</t>
        </is>
      </c>
      <c r="B91" s="29" t="n">
        <v>46280</v>
      </c>
      <c r="C91" s="3" t="inlineStr">
        <is>
          <t>09:56</t>
        </is>
      </c>
      <c r="D91" s="3" t="inlineStr">
        <is>
          <t>2026-09</t>
        </is>
      </c>
      <c r="E91" s="3" t="n">
        <v>38</v>
      </c>
      <c r="F91" s="3" t="inlineStr">
        <is>
          <t>martes</t>
        </is>
      </c>
      <c r="G91" s="3" t="n">
        <v>1</v>
      </c>
      <c r="H91" s="3" t="n">
        <v>9</v>
      </c>
      <c r="I91" s="3" t="inlineStr">
        <is>
          <t>09:00-09:59</t>
        </is>
      </c>
      <c r="J91" s="3" t="inlineStr">
        <is>
          <t>VTC</t>
        </is>
      </c>
      <c r="K91" s="28" t="n">
        <v>15.64</v>
      </c>
      <c r="L91" s="3" t="inlineStr">
        <is>
          <t>app</t>
        </is>
      </c>
      <c r="M91" s="3" t="b">
        <v>0</v>
      </c>
      <c r="N91" s="3" t="b">
        <v>0</v>
      </c>
      <c r="O91" s="3" t="b">
        <v>0</v>
      </c>
      <c r="P91" s="3" t="b">
        <v>1</v>
      </c>
      <c r="Q91" s="3">
        <f>IF(COUNTIF($B$2:B91,B91)=1,1,0)</f>
        <v/>
      </c>
    </row>
    <row r="92">
      <c r="A92" s="3" t="inlineStr">
        <is>
          <t>V091</t>
        </is>
      </c>
      <c r="B92" s="29" t="n">
        <v>46280</v>
      </c>
      <c r="C92" s="3" t="inlineStr">
        <is>
          <t>10:58</t>
        </is>
      </c>
      <c r="D92" s="3" t="inlineStr">
        <is>
          <t>2026-09</t>
        </is>
      </c>
      <c r="E92" s="3" t="n">
        <v>38</v>
      </c>
      <c r="F92" s="3" t="inlineStr">
        <is>
          <t>martes</t>
        </is>
      </c>
      <c r="G92" s="3" t="n">
        <v>1</v>
      </c>
      <c r="H92" s="3" t="n">
        <v>10</v>
      </c>
      <c r="I92" s="3" t="inlineStr">
        <is>
          <t>10:00-10:59</t>
        </is>
      </c>
      <c r="J92" s="3" t="inlineStr">
        <is>
          <t>VTC Prioritario</t>
        </is>
      </c>
      <c r="K92" s="28" t="n">
        <v>6.02</v>
      </c>
      <c r="L92" s="3" t="inlineStr">
        <is>
          <t>app</t>
        </is>
      </c>
      <c r="M92" s="3" t="b">
        <v>0</v>
      </c>
      <c r="N92" s="3" t="b">
        <v>0</v>
      </c>
      <c r="O92" s="3" t="b">
        <v>0</v>
      </c>
      <c r="P92" s="3" t="b">
        <v>1</v>
      </c>
      <c r="Q92" s="3">
        <f>IF(COUNTIF($B$2:B92,B92)=1,1,0)</f>
        <v/>
      </c>
    </row>
    <row r="93">
      <c r="A93" s="3" t="inlineStr">
        <is>
          <t>V092</t>
        </is>
      </c>
      <c r="B93" s="29" t="n">
        <v>46280</v>
      </c>
      <c r="C93" s="3" t="inlineStr">
        <is>
          <t>12:11</t>
        </is>
      </c>
      <c r="D93" s="3" t="inlineStr">
        <is>
          <t>2026-09</t>
        </is>
      </c>
      <c r="E93" s="3" t="n">
        <v>38</v>
      </c>
      <c r="F93" s="3" t="inlineStr">
        <is>
          <t>martes</t>
        </is>
      </c>
      <c r="G93" s="3" t="n">
        <v>1</v>
      </c>
      <c r="H93" s="3" t="n">
        <v>12</v>
      </c>
      <c r="I93" s="3" t="inlineStr">
        <is>
          <t>12:00-12:59</t>
        </is>
      </c>
      <c r="J93" s="3" t="inlineStr">
        <is>
          <t>VTC</t>
        </is>
      </c>
      <c r="K93" s="28" t="n">
        <v>6</v>
      </c>
      <c r="L93" s="3" t="inlineStr">
        <is>
          <t>app</t>
        </is>
      </c>
      <c r="M93" s="3" t="b">
        <v>0</v>
      </c>
      <c r="N93" s="3" t="b">
        <v>1</v>
      </c>
      <c r="O93" s="3" t="b">
        <v>0</v>
      </c>
      <c r="P93" s="3" t="b">
        <v>1</v>
      </c>
      <c r="Q93" s="3">
        <f>IF(COUNTIF($B$2:B93,B93)=1,1,0)</f>
        <v/>
      </c>
    </row>
    <row r="94">
      <c r="A94" s="3" t="inlineStr">
        <is>
          <t>V093</t>
        </is>
      </c>
      <c r="B94" s="29" t="n">
        <v>46281</v>
      </c>
      <c r="C94" s="3" t="inlineStr">
        <is>
          <t>06:50</t>
        </is>
      </c>
      <c r="D94" s="3" t="inlineStr">
        <is>
          <t>2026-09</t>
        </is>
      </c>
      <c r="E94" s="3" t="n">
        <v>38</v>
      </c>
      <c r="F94" s="3" t="inlineStr">
        <is>
          <t>miércoles</t>
        </is>
      </c>
      <c r="G94" s="3" t="n">
        <v>2</v>
      </c>
      <c r="H94" s="3" t="n">
        <v>6</v>
      </c>
      <c r="I94" s="3" t="inlineStr">
        <is>
          <t>06:00-06:59</t>
        </is>
      </c>
      <c r="J94" s="3" t="inlineStr">
        <is>
          <t>VTC</t>
        </is>
      </c>
      <c r="K94" s="28" t="n">
        <v>10.54</v>
      </c>
      <c r="L94" s="3" t="inlineStr">
        <is>
          <t>efectivo</t>
        </is>
      </c>
      <c r="M94" s="3" t="b">
        <v>0</v>
      </c>
      <c r="N94" s="3" t="b">
        <v>0</v>
      </c>
      <c r="O94" s="3" t="b">
        <v>0</v>
      </c>
      <c r="P94" s="3" t="b">
        <v>1</v>
      </c>
      <c r="Q94" s="3">
        <f>IF(COUNTIF($B$2:B94,B94)=1,1,0)</f>
        <v/>
      </c>
    </row>
    <row r="95">
      <c r="A95" s="3" t="inlineStr">
        <is>
          <t>V094</t>
        </is>
      </c>
      <c r="B95" s="29" t="n">
        <v>46281</v>
      </c>
      <c r="C95" s="3" t="inlineStr">
        <is>
          <t>07:19</t>
        </is>
      </c>
      <c r="D95" s="3" t="inlineStr">
        <is>
          <t>2026-09</t>
        </is>
      </c>
      <c r="E95" s="3" t="n">
        <v>38</v>
      </c>
      <c r="F95" s="3" t="inlineStr">
        <is>
          <t>miércoles</t>
        </is>
      </c>
      <c r="G95" s="3" t="n">
        <v>2</v>
      </c>
      <c r="H95" s="3" t="n">
        <v>7</v>
      </c>
      <c r="I95" s="3" t="inlineStr">
        <is>
          <t>07:00-07:59</t>
        </is>
      </c>
      <c r="J95" s="3" t="inlineStr">
        <is>
          <t>VTC</t>
        </is>
      </c>
      <c r="K95" s="28" t="n">
        <v>13.96</v>
      </c>
      <c r="L95" s="3" t="inlineStr">
        <is>
          <t>app</t>
        </is>
      </c>
      <c r="M95" s="3" t="b">
        <v>0</v>
      </c>
      <c r="N95" s="3" t="b">
        <v>0</v>
      </c>
      <c r="O95" s="3" t="b">
        <v>0</v>
      </c>
      <c r="P95" s="3" t="b">
        <v>1</v>
      </c>
      <c r="Q95" s="3">
        <f>IF(COUNTIF($B$2:B95,B95)=1,1,0)</f>
        <v/>
      </c>
    </row>
    <row r="96">
      <c r="A96" s="3" t="inlineStr">
        <is>
          <t>V095</t>
        </is>
      </c>
      <c r="B96" s="29" t="n">
        <v>46281</v>
      </c>
      <c r="C96" s="3" t="inlineStr">
        <is>
          <t>08:28</t>
        </is>
      </c>
      <c r="D96" s="3" t="inlineStr">
        <is>
          <t>2026-09</t>
        </is>
      </c>
      <c r="E96" s="3" t="n">
        <v>38</v>
      </c>
      <c r="F96" s="3" t="inlineStr">
        <is>
          <t>miércoles</t>
        </is>
      </c>
      <c r="G96" s="3" t="n">
        <v>2</v>
      </c>
      <c r="H96" s="3" t="n">
        <v>8</v>
      </c>
      <c r="I96" s="3" t="inlineStr">
        <is>
          <t>08:00-08:59</t>
        </is>
      </c>
      <c r="J96" s="3" t="inlineStr">
        <is>
          <t>VTC</t>
        </is>
      </c>
      <c r="K96" s="28" t="n">
        <v>11.78</v>
      </c>
      <c r="L96" s="3" t="inlineStr">
        <is>
          <t>efectivo</t>
        </is>
      </c>
      <c r="M96" s="3" t="b">
        <v>0</v>
      </c>
      <c r="N96" s="3" t="b">
        <v>0</v>
      </c>
      <c r="O96" s="3" t="b">
        <v>0</v>
      </c>
      <c r="P96" s="3" t="b">
        <v>1</v>
      </c>
      <c r="Q96" s="3">
        <f>IF(COUNTIF($B$2:B96,B96)=1,1,0)</f>
        <v/>
      </c>
    </row>
    <row r="97">
      <c r="A97" s="3" t="inlineStr">
        <is>
          <t>V096</t>
        </is>
      </c>
      <c r="B97" s="29" t="n">
        <v>46281</v>
      </c>
      <c r="C97" s="3" t="inlineStr">
        <is>
          <t>08:43</t>
        </is>
      </c>
      <c r="D97" s="3" t="inlineStr">
        <is>
          <t>2026-09</t>
        </is>
      </c>
      <c r="E97" s="3" t="n">
        <v>38</v>
      </c>
      <c r="F97" s="3" t="inlineStr">
        <is>
          <t>miércoles</t>
        </is>
      </c>
      <c r="G97" s="3" t="n">
        <v>2</v>
      </c>
      <c r="H97" s="3" t="n">
        <v>8</v>
      </c>
      <c r="I97" s="3" t="inlineStr">
        <is>
          <t>08:00-08:59</t>
        </is>
      </c>
      <c r="J97" s="3" t="inlineStr">
        <is>
          <t>VTC</t>
        </is>
      </c>
      <c r="K97" s="28" t="n">
        <v>7.59</v>
      </c>
      <c r="L97" s="3" t="inlineStr">
        <is>
          <t>app</t>
        </is>
      </c>
      <c r="M97" s="3" t="b">
        <v>0</v>
      </c>
      <c r="N97" s="3" t="b">
        <v>0</v>
      </c>
      <c r="O97" s="3" t="b">
        <v>0</v>
      </c>
      <c r="P97" s="3" t="b">
        <v>1</v>
      </c>
      <c r="Q97" s="3">
        <f>IF(COUNTIF($B$2:B97,B97)=1,1,0)</f>
        <v/>
      </c>
    </row>
    <row r="98">
      <c r="A98" s="3" t="inlineStr">
        <is>
          <t>V097</t>
        </is>
      </c>
      <c r="B98" s="29" t="n">
        <v>46281</v>
      </c>
      <c r="C98" s="3" t="inlineStr">
        <is>
          <t>09:04</t>
        </is>
      </c>
      <c r="D98" s="3" t="inlineStr">
        <is>
          <t>2026-09</t>
        </is>
      </c>
      <c r="E98" s="3" t="n">
        <v>38</v>
      </c>
      <c r="F98" s="3" t="inlineStr">
        <is>
          <t>miércoles</t>
        </is>
      </c>
      <c r="G98" s="3" t="n">
        <v>2</v>
      </c>
      <c r="H98" s="3" t="n">
        <v>9</v>
      </c>
      <c r="I98" s="3" t="inlineStr">
        <is>
          <t>09:00-09:59</t>
        </is>
      </c>
      <c r="J98" s="3" t="inlineStr">
        <is>
          <t>VTC</t>
        </is>
      </c>
      <c r="K98" s="28" t="n">
        <v>6.24</v>
      </c>
      <c r="L98" s="3" t="inlineStr">
        <is>
          <t>app</t>
        </is>
      </c>
      <c r="M98" s="3" t="b">
        <v>0</v>
      </c>
      <c r="N98" s="3" t="b">
        <v>0</v>
      </c>
      <c r="O98" s="3" t="b">
        <v>0</v>
      </c>
      <c r="P98" s="3" t="b">
        <v>1</v>
      </c>
      <c r="Q98" s="3">
        <f>IF(COUNTIF($B$2:B98,B98)=1,1,0)</f>
        <v/>
      </c>
    </row>
    <row r="99">
      <c r="A99" s="3" t="inlineStr">
        <is>
          <t>V098</t>
        </is>
      </c>
      <c r="B99" s="29" t="n">
        <v>46281</v>
      </c>
      <c r="C99" s="3" t="inlineStr">
        <is>
          <t>09:19</t>
        </is>
      </c>
      <c r="D99" s="3" t="inlineStr">
        <is>
          <t>2026-09</t>
        </is>
      </c>
      <c r="E99" s="3" t="n">
        <v>38</v>
      </c>
      <c r="F99" s="3" t="inlineStr">
        <is>
          <t>miércoles</t>
        </is>
      </c>
      <c r="G99" s="3" t="n">
        <v>2</v>
      </c>
      <c r="H99" s="3" t="n">
        <v>9</v>
      </c>
      <c r="I99" s="3" t="inlineStr">
        <is>
          <t>09:00-09:59</t>
        </is>
      </c>
      <c r="J99" s="3" t="inlineStr">
        <is>
          <t>VTC</t>
        </is>
      </c>
      <c r="K99" s="28" t="n">
        <v>6</v>
      </c>
      <c r="L99" s="3" t="inlineStr">
        <is>
          <t>app</t>
        </is>
      </c>
      <c r="M99" s="3" t="b">
        <v>0</v>
      </c>
      <c r="N99" s="3" t="b">
        <v>1</v>
      </c>
      <c r="O99" s="3" t="b">
        <v>0</v>
      </c>
      <c r="P99" s="3" t="b">
        <v>1</v>
      </c>
      <c r="Q99" s="3">
        <f>IF(COUNTIF($B$2:B99,B99)=1,1,0)</f>
        <v/>
      </c>
    </row>
    <row r="100">
      <c r="A100" s="3" t="inlineStr">
        <is>
          <t>V099</t>
        </is>
      </c>
      <c r="B100" s="29" t="n">
        <v>46281</v>
      </c>
      <c r="C100" s="3" t="inlineStr">
        <is>
          <t>09:43</t>
        </is>
      </c>
      <c r="D100" s="3" t="inlineStr">
        <is>
          <t>2026-09</t>
        </is>
      </c>
      <c r="E100" s="3" t="n">
        <v>38</v>
      </c>
      <c r="F100" s="3" t="inlineStr">
        <is>
          <t>miércoles</t>
        </is>
      </c>
      <c r="G100" s="3" t="n">
        <v>2</v>
      </c>
      <c r="H100" s="3" t="n">
        <v>9</v>
      </c>
      <c r="I100" s="3" t="inlineStr">
        <is>
          <t>09:00-09:59</t>
        </is>
      </c>
      <c r="J100" s="3" t="inlineStr">
        <is>
          <t>VTC</t>
        </is>
      </c>
      <c r="K100" s="28" t="n">
        <v>6</v>
      </c>
      <c r="L100" s="3" t="inlineStr">
        <is>
          <t>efectivo</t>
        </is>
      </c>
      <c r="M100" s="3" t="b">
        <v>0</v>
      </c>
      <c r="N100" s="3" t="b">
        <v>1</v>
      </c>
      <c r="O100" s="3" t="b">
        <v>0</v>
      </c>
      <c r="P100" s="3" t="b">
        <v>1</v>
      </c>
      <c r="Q100" s="3">
        <f>IF(COUNTIF($B$2:B100,B100)=1,1,0)</f>
        <v/>
      </c>
    </row>
    <row r="101">
      <c r="A101" s="3" t="inlineStr">
        <is>
          <t>V100</t>
        </is>
      </c>
      <c r="B101" s="29" t="n">
        <v>46281</v>
      </c>
      <c r="C101" s="3" t="inlineStr">
        <is>
          <t>10:13</t>
        </is>
      </c>
      <c r="D101" s="3" t="inlineStr">
        <is>
          <t>2026-09</t>
        </is>
      </c>
      <c r="E101" s="3" t="n">
        <v>38</v>
      </c>
      <c r="F101" s="3" t="inlineStr">
        <is>
          <t>miércoles</t>
        </is>
      </c>
      <c r="G101" s="3" t="n">
        <v>2</v>
      </c>
      <c r="H101" s="3" t="n">
        <v>10</v>
      </c>
      <c r="I101" s="3" t="inlineStr">
        <is>
          <t>10:00-10:59</t>
        </is>
      </c>
      <c r="J101" s="3" t="inlineStr">
        <is>
          <t>VTC Prioritario</t>
        </is>
      </c>
      <c r="K101" s="28" t="n">
        <v>0</v>
      </c>
      <c r="L101" s="3" t="inlineStr">
        <is>
          <t>app</t>
        </is>
      </c>
      <c r="M101" s="3" t="b">
        <v>1</v>
      </c>
      <c r="N101" s="3" t="b">
        <v>0</v>
      </c>
      <c r="O101" s="3" t="b">
        <v>0</v>
      </c>
      <c r="P101" s="3" t="b">
        <v>1</v>
      </c>
      <c r="Q101" s="3">
        <f>IF(COUNTIF($B$2:B101,B101)=1,1,0)</f>
        <v/>
      </c>
    </row>
    <row r="102">
      <c r="A102" s="3" t="inlineStr">
        <is>
          <t>V101</t>
        </is>
      </c>
      <c r="B102" s="29" t="n">
        <v>46281</v>
      </c>
      <c r="C102" s="3" t="inlineStr">
        <is>
          <t>10:29</t>
        </is>
      </c>
      <c r="D102" s="3" t="inlineStr">
        <is>
          <t>2026-09</t>
        </is>
      </c>
      <c r="E102" s="3" t="n">
        <v>38</v>
      </c>
      <c r="F102" s="3" t="inlineStr">
        <is>
          <t>miércoles</t>
        </is>
      </c>
      <c r="G102" s="3" t="n">
        <v>2</v>
      </c>
      <c r="H102" s="3" t="n">
        <v>10</v>
      </c>
      <c r="I102" s="3" t="inlineStr">
        <is>
          <t>10:00-10:59</t>
        </is>
      </c>
      <c r="J102" s="3" t="inlineStr">
        <is>
          <t>VTC Prioritario</t>
        </is>
      </c>
      <c r="K102" s="28" t="n">
        <v>6</v>
      </c>
      <c r="L102" s="3" t="inlineStr">
        <is>
          <t>app</t>
        </is>
      </c>
      <c r="M102" s="3" t="b">
        <v>0</v>
      </c>
      <c r="N102" s="3" t="b">
        <v>1</v>
      </c>
      <c r="O102" s="3" t="b">
        <v>0</v>
      </c>
      <c r="P102" s="3" t="b">
        <v>1</v>
      </c>
      <c r="Q102" s="3">
        <f>IF(COUNTIF($B$2:B102,B102)=1,1,0)</f>
        <v/>
      </c>
    </row>
    <row r="103">
      <c r="A103" s="3" t="inlineStr">
        <is>
          <t>V102</t>
        </is>
      </c>
      <c r="B103" s="29" t="n">
        <v>46281</v>
      </c>
      <c r="C103" s="3" t="inlineStr">
        <is>
          <t>10:51</t>
        </is>
      </c>
      <c r="D103" s="3" t="inlineStr">
        <is>
          <t>2026-09</t>
        </is>
      </c>
      <c r="E103" s="3" t="n">
        <v>38</v>
      </c>
      <c r="F103" s="3" t="inlineStr">
        <is>
          <t>miércoles</t>
        </is>
      </c>
      <c r="G103" s="3" t="n">
        <v>2</v>
      </c>
      <c r="H103" s="3" t="n">
        <v>10</v>
      </c>
      <c r="I103" s="3" t="inlineStr">
        <is>
          <t>10:00-10:59</t>
        </is>
      </c>
      <c r="J103" s="3" t="inlineStr">
        <is>
          <t>VTC</t>
        </is>
      </c>
      <c r="K103" s="28" t="n">
        <v>6</v>
      </c>
      <c r="L103" s="3" t="inlineStr">
        <is>
          <t>efectivo</t>
        </is>
      </c>
      <c r="M103" s="3" t="b">
        <v>0</v>
      </c>
      <c r="N103" s="3" t="b">
        <v>1</v>
      </c>
      <c r="O103" s="3" t="b">
        <v>0</v>
      </c>
      <c r="P103" s="3" t="b">
        <v>1</v>
      </c>
      <c r="Q103" s="3">
        <f>IF(COUNTIF($B$2:B103,B103)=1,1,0)</f>
        <v/>
      </c>
    </row>
    <row r="104">
      <c r="A104" s="3" t="inlineStr">
        <is>
          <t>V103</t>
        </is>
      </c>
      <c r="B104" s="29" t="n">
        <v>46282</v>
      </c>
      <c r="C104" s="3" t="inlineStr">
        <is>
          <t>07:11</t>
        </is>
      </c>
      <c r="D104" s="3" t="inlineStr">
        <is>
          <t>2026-09</t>
        </is>
      </c>
      <c r="E104" s="3" t="n">
        <v>38</v>
      </c>
      <c r="F104" s="3" t="inlineStr">
        <is>
          <t>jueves</t>
        </is>
      </c>
      <c r="G104" s="3" t="n">
        <v>3</v>
      </c>
      <c r="H104" s="3" t="n">
        <v>7</v>
      </c>
      <c r="I104" s="3" t="inlineStr">
        <is>
          <t>07:00-07:59</t>
        </is>
      </c>
      <c r="J104" s="3" t="inlineStr">
        <is>
          <t>VTC Airport</t>
        </is>
      </c>
      <c r="K104" s="28" t="n">
        <v>12.21</v>
      </c>
      <c r="L104" s="3" t="inlineStr">
        <is>
          <t>app</t>
        </is>
      </c>
      <c r="M104" s="3" t="b">
        <v>0</v>
      </c>
      <c r="N104" s="3" t="b">
        <v>0</v>
      </c>
      <c r="O104" s="3" t="b">
        <v>1</v>
      </c>
      <c r="P104" s="3" t="b">
        <v>1</v>
      </c>
      <c r="Q104" s="3">
        <f>IF(COUNTIF($B$2:B104,B104)=1,1,0)</f>
        <v/>
      </c>
    </row>
    <row r="105">
      <c r="A105" s="3" t="inlineStr">
        <is>
          <t>V104</t>
        </is>
      </c>
      <c r="B105" s="29" t="n">
        <v>46282</v>
      </c>
      <c r="C105" s="3" t="inlineStr">
        <is>
          <t>07:45</t>
        </is>
      </c>
      <c r="D105" s="3" t="inlineStr">
        <is>
          <t>2026-09</t>
        </is>
      </c>
      <c r="E105" s="3" t="n">
        <v>38</v>
      </c>
      <c r="F105" s="3" t="inlineStr">
        <is>
          <t>jueves</t>
        </is>
      </c>
      <c r="G105" s="3" t="n">
        <v>3</v>
      </c>
      <c r="H105" s="3" t="n">
        <v>7</v>
      </c>
      <c r="I105" s="3" t="inlineStr">
        <is>
          <t>07:00-07:59</t>
        </is>
      </c>
      <c r="J105" s="3" t="inlineStr">
        <is>
          <t>VTC</t>
        </is>
      </c>
      <c r="K105" s="28" t="n">
        <v>11.41</v>
      </c>
      <c r="L105" s="3" t="inlineStr">
        <is>
          <t>app</t>
        </is>
      </c>
      <c r="M105" s="3" t="b">
        <v>0</v>
      </c>
      <c r="N105" s="3" t="b">
        <v>0</v>
      </c>
      <c r="O105" s="3" t="b">
        <v>0</v>
      </c>
      <c r="P105" s="3" t="b">
        <v>1</v>
      </c>
      <c r="Q105" s="3">
        <f>IF(COUNTIF($B$2:B105,B105)=1,1,0)</f>
        <v/>
      </c>
    </row>
    <row r="106">
      <c r="A106" s="3" t="inlineStr">
        <is>
          <t>V105</t>
        </is>
      </c>
      <c r="B106" s="29" t="n">
        <v>46282</v>
      </c>
      <c r="C106" s="3" t="inlineStr">
        <is>
          <t>08:14</t>
        </is>
      </c>
      <c r="D106" s="3" t="inlineStr">
        <is>
          <t>2026-09</t>
        </is>
      </c>
      <c r="E106" s="3" t="n">
        <v>38</v>
      </c>
      <c r="F106" s="3" t="inlineStr">
        <is>
          <t>jueves</t>
        </is>
      </c>
      <c r="G106" s="3" t="n">
        <v>3</v>
      </c>
      <c r="H106" s="3" t="n">
        <v>8</v>
      </c>
      <c r="I106" s="3" t="inlineStr">
        <is>
          <t>08:00-08:59</t>
        </is>
      </c>
      <c r="J106" s="3" t="inlineStr">
        <is>
          <t>VTC</t>
        </is>
      </c>
      <c r="K106" s="28" t="n">
        <v>11.21</v>
      </c>
      <c r="L106" s="3" t="inlineStr">
        <is>
          <t>app</t>
        </is>
      </c>
      <c r="M106" s="3" t="b">
        <v>0</v>
      </c>
      <c r="N106" s="3" t="b">
        <v>0</v>
      </c>
      <c r="O106" s="3" t="b">
        <v>0</v>
      </c>
      <c r="P106" s="3" t="b">
        <v>1</v>
      </c>
      <c r="Q106" s="3">
        <f>IF(COUNTIF($B$2:B106,B106)=1,1,0)</f>
        <v/>
      </c>
    </row>
    <row r="107">
      <c r="A107" s="3" t="inlineStr">
        <is>
          <t>V106</t>
        </is>
      </c>
      <c r="B107" s="29" t="n">
        <v>46282</v>
      </c>
      <c r="C107" s="3" t="inlineStr">
        <is>
          <t>08:55</t>
        </is>
      </c>
      <c r="D107" s="3" t="inlineStr">
        <is>
          <t>2026-09</t>
        </is>
      </c>
      <c r="E107" s="3" t="n">
        <v>38</v>
      </c>
      <c r="F107" s="3" t="inlineStr">
        <is>
          <t>jueves</t>
        </is>
      </c>
      <c r="G107" s="3" t="n">
        <v>3</v>
      </c>
      <c r="H107" s="3" t="n">
        <v>8</v>
      </c>
      <c r="I107" s="3" t="inlineStr">
        <is>
          <t>08:00-08:59</t>
        </is>
      </c>
      <c r="J107" s="3" t="inlineStr">
        <is>
          <t>VTC</t>
        </is>
      </c>
      <c r="K107" s="28" t="n">
        <v>0</v>
      </c>
      <c r="L107" s="3" t="inlineStr">
        <is>
          <t>app</t>
        </is>
      </c>
      <c r="M107" s="3" t="b">
        <v>1</v>
      </c>
      <c r="N107" s="3" t="b">
        <v>0</v>
      </c>
      <c r="O107" s="3" t="b">
        <v>0</v>
      </c>
      <c r="P107" s="3" t="b">
        <v>1</v>
      </c>
      <c r="Q107" s="3">
        <f>IF(COUNTIF($B$2:B107,B107)=1,1,0)</f>
        <v/>
      </c>
    </row>
    <row r="108">
      <c r="A108" s="3" t="inlineStr">
        <is>
          <t>V107</t>
        </is>
      </c>
      <c r="B108" s="29" t="n">
        <v>46282</v>
      </c>
      <c r="C108" s="3" t="inlineStr">
        <is>
          <t>09:35</t>
        </is>
      </c>
      <c r="D108" s="3" t="inlineStr">
        <is>
          <t>2026-09</t>
        </is>
      </c>
      <c r="E108" s="3" t="n">
        <v>38</v>
      </c>
      <c r="F108" s="3" t="inlineStr">
        <is>
          <t>jueves</t>
        </is>
      </c>
      <c r="G108" s="3" t="n">
        <v>3</v>
      </c>
      <c r="H108" s="3" t="n">
        <v>9</v>
      </c>
      <c r="I108" s="3" t="inlineStr">
        <is>
          <t>09:00-09:59</t>
        </is>
      </c>
      <c r="J108" s="3" t="inlineStr">
        <is>
          <t>VTC</t>
        </is>
      </c>
      <c r="K108" s="28" t="n">
        <v>19.06</v>
      </c>
      <c r="L108" s="3" t="inlineStr">
        <is>
          <t>app</t>
        </is>
      </c>
      <c r="M108" s="3" t="b">
        <v>0</v>
      </c>
      <c r="N108" s="3" t="b">
        <v>0</v>
      </c>
      <c r="O108" s="3" t="b">
        <v>0</v>
      </c>
      <c r="P108" s="3" t="b">
        <v>1</v>
      </c>
      <c r="Q108" s="3">
        <f>IF(COUNTIF($B$2:B108,B108)=1,1,0)</f>
        <v/>
      </c>
    </row>
    <row r="109">
      <c r="A109" s="3" t="inlineStr">
        <is>
          <t>V108</t>
        </is>
      </c>
      <c r="B109" s="29" t="n">
        <v>46282</v>
      </c>
      <c r="C109" s="3" t="inlineStr">
        <is>
          <t>10:30</t>
        </is>
      </c>
      <c r="D109" s="3" t="inlineStr">
        <is>
          <t>2026-09</t>
        </is>
      </c>
      <c r="E109" s="3" t="n">
        <v>38</v>
      </c>
      <c r="F109" s="3" t="inlineStr">
        <is>
          <t>jueves</t>
        </is>
      </c>
      <c r="G109" s="3" t="n">
        <v>3</v>
      </c>
      <c r="H109" s="3" t="n">
        <v>10</v>
      </c>
      <c r="I109" s="3" t="inlineStr">
        <is>
          <t>10:00-10:59</t>
        </is>
      </c>
      <c r="J109" s="3" t="inlineStr">
        <is>
          <t>VTC</t>
        </is>
      </c>
      <c r="K109" s="28" t="n">
        <v>12.32</v>
      </c>
      <c r="L109" s="3" t="inlineStr">
        <is>
          <t>app</t>
        </is>
      </c>
      <c r="M109" s="3" t="b">
        <v>0</v>
      </c>
      <c r="N109" s="3" t="b">
        <v>0</v>
      </c>
      <c r="O109" s="3" t="b">
        <v>0</v>
      </c>
      <c r="P109" s="3" t="b">
        <v>1</v>
      </c>
      <c r="Q109" s="3">
        <f>IF(COUNTIF($B$2:B109,B109)=1,1,0)</f>
        <v/>
      </c>
    </row>
    <row r="110">
      <c r="A110" s="3" t="inlineStr">
        <is>
          <t>V109</t>
        </is>
      </c>
      <c r="B110" s="29" t="n">
        <v>46283</v>
      </c>
      <c r="C110" s="3" t="inlineStr">
        <is>
          <t>06:33</t>
        </is>
      </c>
      <c r="D110" s="3" t="inlineStr">
        <is>
          <t>2026-09</t>
        </is>
      </c>
      <c r="E110" s="3" t="n">
        <v>38</v>
      </c>
      <c r="F110" s="3" t="inlineStr">
        <is>
          <t>viernes</t>
        </is>
      </c>
      <c r="G110" s="3" t="n">
        <v>4</v>
      </c>
      <c r="H110" s="3" t="n">
        <v>6</v>
      </c>
      <c r="I110" s="3" t="inlineStr">
        <is>
          <t>06:00-06:59</t>
        </is>
      </c>
      <c r="J110" s="3" t="inlineStr">
        <is>
          <t>VTC Eco</t>
        </is>
      </c>
      <c r="K110" s="28" t="n">
        <v>0</v>
      </c>
      <c r="L110" s="3" t="inlineStr">
        <is>
          <t>app</t>
        </is>
      </c>
      <c r="M110" s="3" t="b">
        <v>1</v>
      </c>
      <c r="N110" s="3" t="b">
        <v>0</v>
      </c>
      <c r="O110" s="3" t="b">
        <v>0</v>
      </c>
      <c r="P110" s="3" t="b">
        <v>1</v>
      </c>
      <c r="Q110" s="3">
        <f>IF(COUNTIF($B$2:B110,B110)=1,1,0)</f>
        <v/>
      </c>
    </row>
    <row r="111">
      <c r="A111" s="3" t="inlineStr">
        <is>
          <t>V110</t>
        </is>
      </c>
      <c r="B111" s="29" t="n">
        <v>46283</v>
      </c>
      <c r="C111" s="3" t="inlineStr">
        <is>
          <t>06:38</t>
        </is>
      </c>
      <c r="D111" s="3" t="inlineStr">
        <is>
          <t>2026-09</t>
        </is>
      </c>
      <c r="E111" s="3" t="n">
        <v>38</v>
      </c>
      <c r="F111" s="3" t="inlineStr">
        <is>
          <t>viernes</t>
        </is>
      </c>
      <c r="G111" s="3" t="n">
        <v>4</v>
      </c>
      <c r="H111" s="3" t="n">
        <v>6</v>
      </c>
      <c r="I111" s="3" t="inlineStr">
        <is>
          <t>06:00-06:59</t>
        </is>
      </c>
      <c r="J111" s="3" t="inlineStr">
        <is>
          <t>VTC</t>
        </is>
      </c>
      <c r="K111" s="28" t="n">
        <v>10.28</v>
      </c>
      <c r="L111" s="3" t="inlineStr">
        <is>
          <t>app</t>
        </is>
      </c>
      <c r="M111" s="3" t="b">
        <v>0</v>
      </c>
      <c r="N111" s="3" t="b">
        <v>0</v>
      </c>
      <c r="O111" s="3" t="b">
        <v>0</v>
      </c>
      <c r="P111" s="3" t="b">
        <v>1</v>
      </c>
      <c r="Q111" s="3">
        <f>IF(COUNTIF($B$2:B111,B111)=1,1,0)</f>
        <v/>
      </c>
    </row>
    <row r="112">
      <c r="A112" s="3" t="inlineStr">
        <is>
          <t>V111</t>
        </is>
      </c>
      <c r="B112" s="29" t="n">
        <v>46283</v>
      </c>
      <c r="C112" s="3" t="inlineStr">
        <is>
          <t>07:39</t>
        </is>
      </c>
      <c r="D112" s="3" t="inlineStr">
        <is>
          <t>2026-09</t>
        </is>
      </c>
      <c r="E112" s="3" t="n">
        <v>38</v>
      </c>
      <c r="F112" s="3" t="inlineStr">
        <is>
          <t>viernes</t>
        </is>
      </c>
      <c r="G112" s="3" t="n">
        <v>4</v>
      </c>
      <c r="H112" s="3" t="n">
        <v>7</v>
      </c>
      <c r="I112" s="3" t="inlineStr">
        <is>
          <t>07:00-07:59</t>
        </is>
      </c>
      <c r="J112" s="3" t="inlineStr">
        <is>
          <t>VTC</t>
        </is>
      </c>
      <c r="K112" s="28" t="n">
        <v>8</v>
      </c>
      <c r="L112" s="3" t="inlineStr">
        <is>
          <t>app</t>
        </is>
      </c>
      <c r="M112" s="3" t="b">
        <v>0</v>
      </c>
      <c r="N112" s="3" t="b">
        <v>0</v>
      </c>
      <c r="O112" s="3" t="b">
        <v>0</v>
      </c>
      <c r="P112" s="3" t="b">
        <v>1</v>
      </c>
      <c r="Q112" s="3">
        <f>IF(COUNTIF($B$2:B112,B112)=1,1,0)</f>
        <v/>
      </c>
    </row>
    <row r="113">
      <c r="A113" s="3" t="inlineStr">
        <is>
          <t>V112</t>
        </is>
      </c>
      <c r="B113" s="29" t="n">
        <v>46283</v>
      </c>
      <c r="C113" s="3" t="inlineStr">
        <is>
          <t>08:08</t>
        </is>
      </c>
      <c r="D113" s="3" t="inlineStr">
        <is>
          <t>2026-09</t>
        </is>
      </c>
      <c r="E113" s="3" t="n">
        <v>38</v>
      </c>
      <c r="F113" s="3" t="inlineStr">
        <is>
          <t>viernes</t>
        </is>
      </c>
      <c r="G113" s="3" t="n">
        <v>4</v>
      </c>
      <c r="H113" s="3" t="n">
        <v>8</v>
      </c>
      <c r="I113" s="3" t="inlineStr">
        <is>
          <t>08:00-08:59</t>
        </is>
      </c>
      <c r="J113" s="3" t="inlineStr">
        <is>
          <t>VTC Eco</t>
        </is>
      </c>
      <c r="K113" s="28" t="n">
        <v>0</v>
      </c>
      <c r="L113" s="3" t="inlineStr">
        <is>
          <t>app</t>
        </is>
      </c>
      <c r="M113" s="3" t="b">
        <v>1</v>
      </c>
      <c r="N113" s="3" t="b">
        <v>0</v>
      </c>
      <c r="O113" s="3" t="b">
        <v>0</v>
      </c>
      <c r="P113" s="3" t="b">
        <v>1</v>
      </c>
      <c r="Q113" s="3">
        <f>IF(COUNTIF($B$2:B113,B113)=1,1,0)</f>
        <v/>
      </c>
    </row>
    <row r="114">
      <c r="A114" s="3" t="inlineStr">
        <is>
          <t>V113</t>
        </is>
      </c>
      <c r="B114" s="29" t="n">
        <v>46283</v>
      </c>
      <c r="C114" s="3" t="inlineStr">
        <is>
          <t>08:23</t>
        </is>
      </c>
      <c r="D114" s="3" t="inlineStr">
        <is>
          <t>2026-09</t>
        </is>
      </c>
      <c r="E114" s="3" t="n">
        <v>38</v>
      </c>
      <c r="F114" s="3" t="inlineStr">
        <is>
          <t>viernes</t>
        </is>
      </c>
      <c r="G114" s="3" t="n">
        <v>4</v>
      </c>
      <c r="H114" s="3" t="n">
        <v>8</v>
      </c>
      <c r="I114" s="3" t="inlineStr">
        <is>
          <t>08:00-08:59</t>
        </is>
      </c>
      <c r="J114" s="3" t="inlineStr">
        <is>
          <t>VTC</t>
        </is>
      </c>
      <c r="K114" s="28" t="n">
        <v>14.85</v>
      </c>
      <c r="L114" s="3" t="inlineStr">
        <is>
          <t>app</t>
        </is>
      </c>
      <c r="M114" s="3" t="b">
        <v>0</v>
      </c>
      <c r="N114" s="3" t="b">
        <v>0</v>
      </c>
      <c r="O114" s="3" t="b">
        <v>0</v>
      </c>
      <c r="P114" s="3" t="b">
        <v>1</v>
      </c>
      <c r="Q114" s="3">
        <f>IF(COUNTIF($B$2:B114,B114)=1,1,0)</f>
        <v/>
      </c>
    </row>
    <row r="115">
      <c r="A115" s="3" t="inlineStr">
        <is>
          <t>V114</t>
        </is>
      </c>
      <c r="B115" s="29" t="n">
        <v>46283</v>
      </c>
      <c r="C115" s="3" t="inlineStr">
        <is>
          <t>08:58</t>
        </is>
      </c>
      <c r="D115" s="3" t="inlineStr">
        <is>
          <t>2026-09</t>
        </is>
      </c>
      <c r="E115" s="3" t="n">
        <v>38</v>
      </c>
      <c r="F115" s="3" t="inlineStr">
        <is>
          <t>viernes</t>
        </is>
      </c>
      <c r="G115" s="3" t="n">
        <v>4</v>
      </c>
      <c r="H115" s="3" t="n">
        <v>8</v>
      </c>
      <c r="I115" s="3" t="inlineStr">
        <is>
          <t>08:00-08:59</t>
        </is>
      </c>
      <c r="J115" s="3" t="inlineStr">
        <is>
          <t>VTC</t>
        </is>
      </c>
      <c r="K115" s="28" t="n">
        <v>17.88</v>
      </c>
      <c r="L115" s="3" t="inlineStr">
        <is>
          <t>app</t>
        </is>
      </c>
      <c r="M115" s="3" t="b">
        <v>0</v>
      </c>
      <c r="N115" s="3" t="b">
        <v>0</v>
      </c>
      <c r="O115" s="3" t="b">
        <v>0</v>
      </c>
      <c r="P115" s="3" t="b">
        <v>1</v>
      </c>
      <c r="Q115" s="3">
        <f>IF(COUNTIF($B$2:B115,B115)=1,1,0)</f>
        <v/>
      </c>
    </row>
    <row r="116">
      <c r="A116" s="3" t="inlineStr">
        <is>
          <t>V115</t>
        </is>
      </c>
      <c r="B116" s="29" t="n">
        <v>46283</v>
      </c>
      <c r="C116" s="3" t="inlineStr">
        <is>
          <t>10:43</t>
        </is>
      </c>
      <c r="D116" s="3" t="inlineStr">
        <is>
          <t>2026-09</t>
        </is>
      </c>
      <c r="E116" s="3" t="n">
        <v>38</v>
      </c>
      <c r="F116" s="3" t="inlineStr">
        <is>
          <t>viernes</t>
        </is>
      </c>
      <c r="G116" s="3" t="n">
        <v>4</v>
      </c>
      <c r="H116" s="3" t="n">
        <v>10</v>
      </c>
      <c r="I116" s="3" t="inlineStr">
        <is>
          <t>10:00-10:59</t>
        </is>
      </c>
      <c r="J116" s="3" t="inlineStr">
        <is>
          <t>VTC Prioritario</t>
        </is>
      </c>
      <c r="K116" s="28" t="n">
        <v>19.51</v>
      </c>
      <c r="L116" s="3" t="inlineStr">
        <is>
          <t>app</t>
        </is>
      </c>
      <c r="M116" s="3" t="b">
        <v>0</v>
      </c>
      <c r="N116" s="3" t="b">
        <v>0</v>
      </c>
      <c r="O116" s="3" t="b">
        <v>0</v>
      </c>
      <c r="P116" s="3" t="b">
        <v>1</v>
      </c>
      <c r="Q116" s="3">
        <f>IF(COUNTIF($B$2:B116,B116)=1,1,0)</f>
        <v/>
      </c>
    </row>
    <row r="117">
      <c r="A117" s="3" t="inlineStr">
        <is>
          <t>V116</t>
        </is>
      </c>
      <c r="B117" s="29" t="n">
        <v>46283</v>
      </c>
      <c r="C117" s="3" t="inlineStr">
        <is>
          <t>11:30</t>
        </is>
      </c>
      <c r="D117" s="3" t="inlineStr">
        <is>
          <t>2026-09</t>
        </is>
      </c>
      <c r="E117" s="3" t="n">
        <v>38</v>
      </c>
      <c r="F117" s="3" t="inlineStr">
        <is>
          <t>viernes</t>
        </is>
      </c>
      <c r="G117" s="3" t="n">
        <v>4</v>
      </c>
      <c r="H117" s="3" t="n">
        <v>11</v>
      </c>
      <c r="I117" s="3" t="inlineStr">
        <is>
          <t>11:00-11:59</t>
        </is>
      </c>
      <c r="J117" s="3" t="inlineStr">
        <is>
          <t>VTC</t>
        </is>
      </c>
      <c r="K117" s="28" t="n">
        <v>6.66</v>
      </c>
      <c r="L117" s="3" t="inlineStr">
        <is>
          <t>app</t>
        </is>
      </c>
      <c r="M117" s="3" t="b">
        <v>0</v>
      </c>
      <c r="N117" s="3" t="b">
        <v>0</v>
      </c>
      <c r="O117" s="3" t="b">
        <v>0</v>
      </c>
      <c r="P117" s="3" t="b">
        <v>1</v>
      </c>
      <c r="Q117" s="3">
        <f>IF(COUNTIF($B$2:B117,B117)=1,1,0)</f>
        <v/>
      </c>
    </row>
    <row r="118">
      <c r="A118" s="3" t="inlineStr">
        <is>
          <t>V117</t>
        </is>
      </c>
      <c r="B118" s="29" t="n">
        <v>46283</v>
      </c>
      <c r="C118" s="3" t="inlineStr">
        <is>
          <t>12:01</t>
        </is>
      </c>
      <c r="D118" s="3" t="inlineStr">
        <is>
          <t>2026-09</t>
        </is>
      </c>
      <c r="E118" s="3" t="n">
        <v>38</v>
      </c>
      <c r="F118" s="3" t="inlineStr">
        <is>
          <t>viernes</t>
        </is>
      </c>
      <c r="G118" s="3" t="n">
        <v>4</v>
      </c>
      <c r="H118" s="3" t="n">
        <v>12</v>
      </c>
      <c r="I118" s="3" t="inlineStr">
        <is>
          <t>12:00-12:59</t>
        </is>
      </c>
      <c r="J118" s="3" t="inlineStr">
        <is>
          <t>VTC</t>
        </is>
      </c>
      <c r="K118" s="28" t="n">
        <v>6</v>
      </c>
      <c r="L118" s="3" t="inlineStr">
        <is>
          <t>app</t>
        </is>
      </c>
      <c r="M118" s="3" t="b">
        <v>0</v>
      </c>
      <c r="N118" s="3" t="b">
        <v>1</v>
      </c>
      <c r="O118" s="3" t="b">
        <v>0</v>
      </c>
      <c r="P118" s="3" t="b">
        <v>1</v>
      </c>
      <c r="Q118" s="3">
        <f>IF(COUNTIF($B$2:B118,B118)=1,1,0)</f>
        <v/>
      </c>
    </row>
    <row r="119">
      <c r="A119" s="3" t="inlineStr">
        <is>
          <t>V118</t>
        </is>
      </c>
      <c r="B119" s="29" t="n">
        <v>46286</v>
      </c>
      <c r="C119" s="3" t="inlineStr">
        <is>
          <t>06:33</t>
        </is>
      </c>
      <c r="D119" s="3" t="inlineStr">
        <is>
          <t>2026-09</t>
        </is>
      </c>
      <c r="E119" s="3" t="n">
        <v>39</v>
      </c>
      <c r="F119" s="3" t="inlineStr">
        <is>
          <t>lunes</t>
        </is>
      </c>
      <c r="G119" s="3" t="n">
        <v>0</v>
      </c>
      <c r="H119" s="3" t="n">
        <v>6</v>
      </c>
      <c r="I119" s="3" t="inlineStr">
        <is>
          <t>06:00-06:59</t>
        </is>
      </c>
      <c r="J119" s="3" t="inlineStr">
        <is>
          <t>VTC Airport</t>
        </is>
      </c>
      <c r="K119" s="28" t="n">
        <v>15.95</v>
      </c>
      <c r="L119" s="3" t="inlineStr">
        <is>
          <t>app</t>
        </is>
      </c>
      <c r="M119" s="3" t="b">
        <v>0</v>
      </c>
      <c r="N119" s="3" t="b">
        <v>0</v>
      </c>
      <c r="O119" s="3" t="b">
        <v>1</v>
      </c>
      <c r="P119" s="3" t="b">
        <v>1</v>
      </c>
      <c r="Q119" s="3">
        <f>IF(COUNTIF($B$2:B119,B119)=1,1,0)</f>
        <v/>
      </c>
    </row>
    <row r="120">
      <c r="A120" s="3" t="inlineStr">
        <is>
          <t>V119</t>
        </is>
      </c>
      <c r="B120" s="29" t="n">
        <v>46286</v>
      </c>
      <c r="C120" s="3" t="inlineStr">
        <is>
          <t>07:02</t>
        </is>
      </c>
      <c r="D120" s="3" t="inlineStr">
        <is>
          <t>2026-09</t>
        </is>
      </c>
      <c r="E120" s="3" t="n">
        <v>39</v>
      </c>
      <c r="F120" s="3" t="inlineStr">
        <is>
          <t>lunes</t>
        </is>
      </c>
      <c r="G120" s="3" t="n">
        <v>0</v>
      </c>
      <c r="H120" s="3" t="n">
        <v>7</v>
      </c>
      <c r="I120" s="3" t="inlineStr">
        <is>
          <t>07:00-07:59</t>
        </is>
      </c>
      <c r="J120" s="3" t="inlineStr">
        <is>
          <t>VTC</t>
        </is>
      </c>
      <c r="K120" s="28" t="n">
        <v>9.529999999999999</v>
      </c>
      <c r="L120" s="3" t="inlineStr">
        <is>
          <t>app</t>
        </is>
      </c>
      <c r="M120" s="3" t="b">
        <v>0</v>
      </c>
      <c r="N120" s="3" t="b">
        <v>0</v>
      </c>
      <c r="O120" s="3" t="b">
        <v>0</v>
      </c>
      <c r="P120" s="3" t="b">
        <v>1</v>
      </c>
      <c r="Q120" s="3">
        <f>IF(COUNTIF($B$2:B120,B120)=1,1,0)</f>
        <v/>
      </c>
    </row>
    <row r="121">
      <c r="A121" s="3" t="inlineStr">
        <is>
          <t>V120</t>
        </is>
      </c>
      <c r="B121" s="29" t="n">
        <v>46286</v>
      </c>
      <c r="C121" s="3" t="inlineStr">
        <is>
          <t>07:38</t>
        </is>
      </c>
      <c r="D121" s="3" t="inlineStr">
        <is>
          <t>2026-09</t>
        </is>
      </c>
      <c r="E121" s="3" t="n">
        <v>39</v>
      </c>
      <c r="F121" s="3" t="inlineStr">
        <is>
          <t>lunes</t>
        </is>
      </c>
      <c r="G121" s="3" t="n">
        <v>0</v>
      </c>
      <c r="H121" s="3" t="n">
        <v>7</v>
      </c>
      <c r="I121" s="3" t="inlineStr">
        <is>
          <t>07:00-07:59</t>
        </is>
      </c>
      <c r="J121" s="3" t="inlineStr">
        <is>
          <t>VTC Prioritario</t>
        </is>
      </c>
      <c r="K121" s="28" t="n">
        <v>0</v>
      </c>
      <c r="L121" s="3" t="inlineStr">
        <is>
          <t>app</t>
        </is>
      </c>
      <c r="M121" s="3" t="b">
        <v>1</v>
      </c>
      <c r="N121" s="3" t="b">
        <v>0</v>
      </c>
      <c r="O121" s="3" t="b">
        <v>0</v>
      </c>
      <c r="P121" s="3" t="b">
        <v>1</v>
      </c>
      <c r="Q121" s="3">
        <f>IF(COUNTIF($B$2:B121,B121)=1,1,0)</f>
        <v/>
      </c>
    </row>
    <row r="122">
      <c r="A122" s="3" t="inlineStr">
        <is>
          <t>V121</t>
        </is>
      </c>
      <c r="B122" s="29" t="n">
        <v>46286</v>
      </c>
      <c r="C122" s="3" t="inlineStr">
        <is>
          <t>07:45</t>
        </is>
      </c>
      <c r="D122" s="3" t="inlineStr">
        <is>
          <t>2026-09</t>
        </is>
      </c>
      <c r="E122" s="3" t="n">
        <v>39</v>
      </c>
      <c r="F122" s="3" t="inlineStr">
        <is>
          <t>lunes</t>
        </is>
      </c>
      <c r="G122" s="3" t="n">
        <v>0</v>
      </c>
      <c r="H122" s="3" t="n">
        <v>7</v>
      </c>
      <c r="I122" s="3" t="inlineStr">
        <is>
          <t>07:00-07:59</t>
        </is>
      </c>
      <c r="J122" s="3" t="inlineStr">
        <is>
          <t>VTC</t>
        </is>
      </c>
      <c r="K122" s="28" t="n">
        <v>16.82</v>
      </c>
      <c r="L122" s="3" t="inlineStr">
        <is>
          <t>app</t>
        </is>
      </c>
      <c r="M122" s="3" t="b">
        <v>0</v>
      </c>
      <c r="N122" s="3" t="b">
        <v>0</v>
      </c>
      <c r="O122" s="3" t="b">
        <v>0</v>
      </c>
      <c r="P122" s="3" t="b">
        <v>1</v>
      </c>
      <c r="Q122" s="3">
        <f>IF(COUNTIF($B$2:B122,B122)=1,1,0)</f>
        <v/>
      </c>
    </row>
    <row r="123">
      <c r="A123" s="3" t="inlineStr">
        <is>
          <t>V122</t>
        </is>
      </c>
      <c r="B123" s="29" t="n">
        <v>46286</v>
      </c>
      <c r="C123" s="3" t="inlineStr">
        <is>
          <t>09:04</t>
        </is>
      </c>
      <c r="D123" s="3" t="inlineStr">
        <is>
          <t>2026-09</t>
        </is>
      </c>
      <c r="E123" s="3" t="n">
        <v>39</v>
      </c>
      <c r="F123" s="3" t="inlineStr">
        <is>
          <t>lunes</t>
        </is>
      </c>
      <c r="G123" s="3" t="n">
        <v>0</v>
      </c>
      <c r="H123" s="3" t="n">
        <v>9</v>
      </c>
      <c r="I123" s="3" t="inlineStr">
        <is>
          <t>09:00-09:59</t>
        </is>
      </c>
      <c r="J123" s="3" t="inlineStr">
        <is>
          <t>VTC</t>
        </is>
      </c>
      <c r="K123" s="28" t="n">
        <v>23.61</v>
      </c>
      <c r="L123" s="3" t="inlineStr">
        <is>
          <t>app</t>
        </is>
      </c>
      <c r="M123" s="3" t="b">
        <v>0</v>
      </c>
      <c r="N123" s="3" t="b">
        <v>0</v>
      </c>
      <c r="O123" s="3" t="b">
        <v>0</v>
      </c>
      <c r="P123" s="3" t="b">
        <v>1</v>
      </c>
      <c r="Q123" s="3">
        <f>IF(COUNTIF($B$2:B123,B123)=1,1,0)</f>
        <v/>
      </c>
    </row>
    <row r="124">
      <c r="A124" s="3" t="inlineStr">
        <is>
          <t>V123</t>
        </is>
      </c>
      <c r="B124" s="29" t="n">
        <v>46286</v>
      </c>
      <c r="C124" s="3" t="inlineStr">
        <is>
          <t>10:20</t>
        </is>
      </c>
      <c r="D124" s="3" t="inlineStr">
        <is>
          <t>2026-09</t>
        </is>
      </c>
      <c r="E124" s="3" t="n">
        <v>39</v>
      </c>
      <c r="F124" s="3" t="inlineStr">
        <is>
          <t>lunes</t>
        </is>
      </c>
      <c r="G124" s="3" t="n">
        <v>0</v>
      </c>
      <c r="H124" s="3" t="n">
        <v>10</v>
      </c>
      <c r="I124" s="3" t="inlineStr">
        <is>
          <t>10:00-10:59</t>
        </is>
      </c>
      <c r="J124" s="3" t="inlineStr">
        <is>
          <t>VTC</t>
        </is>
      </c>
      <c r="K124" s="28" t="n">
        <v>0</v>
      </c>
      <c r="L124" s="3" t="inlineStr">
        <is>
          <t>app</t>
        </is>
      </c>
      <c r="M124" s="3" t="b">
        <v>1</v>
      </c>
      <c r="N124" s="3" t="b">
        <v>0</v>
      </c>
      <c r="O124" s="3" t="b">
        <v>0</v>
      </c>
      <c r="P124" s="3" t="b">
        <v>1</v>
      </c>
      <c r="Q124" s="3">
        <f>IF(COUNTIF($B$2:B124,B124)=1,1,0)</f>
        <v/>
      </c>
    </row>
    <row r="125">
      <c r="A125" s="3" t="inlineStr">
        <is>
          <t>V124</t>
        </is>
      </c>
      <c r="B125" s="29" t="n">
        <v>46286</v>
      </c>
      <c r="C125" s="3" t="inlineStr">
        <is>
          <t>11:30</t>
        </is>
      </c>
      <c r="D125" s="3" t="inlineStr">
        <is>
          <t>2026-09</t>
        </is>
      </c>
      <c r="E125" s="3" t="n">
        <v>39</v>
      </c>
      <c r="F125" s="3" t="inlineStr">
        <is>
          <t>lunes</t>
        </is>
      </c>
      <c r="G125" s="3" t="n">
        <v>0</v>
      </c>
      <c r="H125" s="3" t="n">
        <v>11</v>
      </c>
      <c r="I125" s="3" t="inlineStr">
        <is>
          <t>11:00-11:59</t>
        </is>
      </c>
      <c r="J125" s="3" t="inlineStr">
        <is>
          <t>VTC</t>
        </is>
      </c>
      <c r="K125" s="28" t="n">
        <v>7</v>
      </c>
      <c r="L125" s="3" t="inlineStr">
        <is>
          <t>app</t>
        </is>
      </c>
      <c r="M125" s="3" t="b">
        <v>0</v>
      </c>
      <c r="N125" s="3" t="b">
        <v>0</v>
      </c>
      <c r="O125" s="3" t="b">
        <v>0</v>
      </c>
      <c r="P125" s="3" t="b">
        <v>1</v>
      </c>
      <c r="Q125" s="3">
        <f>IF(COUNTIF($B$2:B125,B125)=1,1,0)</f>
        <v/>
      </c>
    </row>
    <row r="126">
      <c r="A126" s="3" t="inlineStr">
        <is>
          <t>V125</t>
        </is>
      </c>
      <c r="B126" s="29" t="n">
        <v>46286</v>
      </c>
      <c r="C126" s="3" t="inlineStr">
        <is>
          <t>12:15</t>
        </is>
      </c>
      <c r="D126" s="3" t="inlineStr">
        <is>
          <t>2026-09</t>
        </is>
      </c>
      <c r="E126" s="3" t="n">
        <v>39</v>
      </c>
      <c r="F126" s="3" t="inlineStr">
        <is>
          <t>lunes</t>
        </is>
      </c>
      <c r="G126" s="3" t="n">
        <v>0</v>
      </c>
      <c r="H126" s="3" t="n">
        <v>12</v>
      </c>
      <c r="I126" s="3" t="inlineStr">
        <is>
          <t>12:00-12:59</t>
        </is>
      </c>
      <c r="J126" s="3" t="inlineStr">
        <is>
          <t>VTC</t>
        </is>
      </c>
      <c r="K126" s="28" t="n">
        <v>0</v>
      </c>
      <c r="L126" s="3" t="inlineStr">
        <is>
          <t>app</t>
        </is>
      </c>
      <c r="M126" s="3" t="b">
        <v>1</v>
      </c>
      <c r="N126" s="3" t="b">
        <v>0</v>
      </c>
      <c r="O126" s="3" t="b">
        <v>0</v>
      </c>
      <c r="P126" s="3" t="b">
        <v>1</v>
      </c>
      <c r="Q126" s="3">
        <f>IF(COUNTIF($B$2:B126,B126)=1,1,0)</f>
        <v/>
      </c>
    </row>
    <row r="127">
      <c r="A127" s="3" t="inlineStr">
        <is>
          <t>V126</t>
        </is>
      </c>
      <c r="B127" s="29" t="n">
        <v>46287</v>
      </c>
      <c r="C127" s="3" t="inlineStr">
        <is>
          <t>07:18</t>
        </is>
      </c>
      <c r="D127" s="3" t="inlineStr">
        <is>
          <t>2026-09</t>
        </is>
      </c>
      <c r="E127" s="3" t="n">
        <v>39</v>
      </c>
      <c r="F127" s="3" t="inlineStr">
        <is>
          <t>martes</t>
        </is>
      </c>
      <c r="G127" s="3" t="n">
        <v>1</v>
      </c>
      <c r="H127" s="3" t="n">
        <v>7</v>
      </c>
      <c r="I127" s="3" t="inlineStr">
        <is>
          <t>07:00-07:59</t>
        </is>
      </c>
      <c r="J127" s="3" t="inlineStr">
        <is>
          <t>VTC Promo</t>
        </is>
      </c>
      <c r="K127" s="28" t="n">
        <v>16.44</v>
      </c>
      <c r="L127" s="3" t="inlineStr">
        <is>
          <t>app</t>
        </is>
      </c>
      <c r="M127" s="3" t="b">
        <v>0</v>
      </c>
      <c r="N127" s="3" t="b">
        <v>0</v>
      </c>
      <c r="O127" s="3" t="b">
        <v>0</v>
      </c>
      <c r="P127" s="3" t="b">
        <v>1</v>
      </c>
      <c r="Q127" s="3">
        <f>IF(COUNTIF($B$2:B127,B127)=1,1,0)</f>
        <v/>
      </c>
    </row>
    <row r="128">
      <c r="A128" s="3" t="inlineStr">
        <is>
          <t>V127</t>
        </is>
      </c>
      <c r="B128" s="29" t="n">
        <v>46287</v>
      </c>
      <c r="C128" s="3" t="inlineStr">
        <is>
          <t>07:45</t>
        </is>
      </c>
      <c r="D128" s="3" t="inlineStr">
        <is>
          <t>2026-09</t>
        </is>
      </c>
      <c r="E128" s="3" t="n">
        <v>39</v>
      </c>
      <c r="F128" s="3" t="inlineStr">
        <is>
          <t>martes</t>
        </is>
      </c>
      <c r="G128" s="3" t="n">
        <v>1</v>
      </c>
      <c r="H128" s="3" t="n">
        <v>7</v>
      </c>
      <c r="I128" s="3" t="inlineStr">
        <is>
          <t>07:00-07:59</t>
        </is>
      </c>
      <c r="J128" s="3" t="inlineStr">
        <is>
          <t>VTC</t>
        </is>
      </c>
      <c r="K128" s="28" t="n">
        <v>0</v>
      </c>
      <c r="L128" s="3" t="inlineStr">
        <is>
          <t>app</t>
        </is>
      </c>
      <c r="M128" s="3" t="b">
        <v>1</v>
      </c>
      <c r="N128" s="3" t="b">
        <v>0</v>
      </c>
      <c r="O128" s="3" t="b">
        <v>0</v>
      </c>
      <c r="P128" s="3" t="b">
        <v>1</v>
      </c>
      <c r="Q128" s="3">
        <f>IF(COUNTIF($B$2:B128,B128)=1,1,0)</f>
        <v/>
      </c>
    </row>
    <row r="129">
      <c r="A129" s="3" t="inlineStr">
        <is>
          <t>V128</t>
        </is>
      </c>
      <c r="B129" s="29" t="n">
        <v>46287</v>
      </c>
      <c r="C129" s="3" t="inlineStr">
        <is>
          <t>07:46</t>
        </is>
      </c>
      <c r="D129" s="3" t="inlineStr">
        <is>
          <t>2026-09</t>
        </is>
      </c>
      <c r="E129" s="3" t="n">
        <v>39</v>
      </c>
      <c r="F129" s="3" t="inlineStr">
        <is>
          <t>martes</t>
        </is>
      </c>
      <c r="G129" s="3" t="n">
        <v>1</v>
      </c>
      <c r="H129" s="3" t="n">
        <v>7</v>
      </c>
      <c r="I129" s="3" t="inlineStr">
        <is>
          <t>07:00-07:59</t>
        </is>
      </c>
      <c r="J129" s="3" t="inlineStr">
        <is>
          <t>VTC</t>
        </is>
      </c>
      <c r="K129" s="28" t="n">
        <v>18.64</v>
      </c>
      <c r="L129" s="3" t="inlineStr">
        <is>
          <t>app</t>
        </is>
      </c>
      <c r="M129" s="3" t="b">
        <v>0</v>
      </c>
      <c r="N129" s="3" t="b">
        <v>0</v>
      </c>
      <c r="O129" s="3" t="b">
        <v>0</v>
      </c>
      <c r="P129" s="3" t="b">
        <v>1</v>
      </c>
      <c r="Q129" s="3">
        <f>IF(COUNTIF($B$2:B129,B129)=1,1,0)</f>
        <v/>
      </c>
    </row>
    <row r="130">
      <c r="A130" s="3" t="inlineStr">
        <is>
          <t>V129</t>
        </is>
      </c>
      <c r="B130" s="29" t="n">
        <v>46287</v>
      </c>
      <c r="C130" s="3" t="inlineStr">
        <is>
          <t>09:12</t>
        </is>
      </c>
      <c r="D130" s="3" t="inlineStr">
        <is>
          <t>2026-09</t>
        </is>
      </c>
      <c r="E130" s="3" t="n">
        <v>39</v>
      </c>
      <c r="F130" s="3" t="inlineStr">
        <is>
          <t>martes</t>
        </is>
      </c>
      <c r="G130" s="3" t="n">
        <v>1</v>
      </c>
      <c r="H130" s="3" t="n">
        <v>9</v>
      </c>
      <c r="I130" s="3" t="inlineStr">
        <is>
          <t>09:00-09:59</t>
        </is>
      </c>
      <c r="J130" s="3" t="inlineStr">
        <is>
          <t>Electric</t>
        </is>
      </c>
      <c r="K130" s="28" t="n">
        <v>18.63</v>
      </c>
      <c r="L130" s="3" t="inlineStr">
        <is>
          <t>app</t>
        </is>
      </c>
      <c r="M130" s="3" t="b">
        <v>0</v>
      </c>
      <c r="N130" s="3" t="b">
        <v>0</v>
      </c>
      <c r="O130" s="3" t="b">
        <v>0</v>
      </c>
      <c r="P130" s="3" t="b">
        <v>1</v>
      </c>
      <c r="Q130" s="3">
        <f>IF(COUNTIF($B$2:B130,B130)=1,1,0)</f>
        <v/>
      </c>
    </row>
    <row r="131">
      <c r="A131" s="3" t="inlineStr">
        <is>
          <t>V130</t>
        </is>
      </c>
      <c r="B131" s="29" t="n">
        <v>46287</v>
      </c>
      <c r="C131" s="3" t="inlineStr">
        <is>
          <t>10:00</t>
        </is>
      </c>
      <c r="D131" s="3" t="inlineStr">
        <is>
          <t>2026-09</t>
        </is>
      </c>
      <c r="E131" s="3" t="n">
        <v>39</v>
      </c>
      <c r="F131" s="3" t="inlineStr">
        <is>
          <t>martes</t>
        </is>
      </c>
      <c r="G131" s="3" t="n">
        <v>1</v>
      </c>
      <c r="H131" s="3" t="n">
        <v>10</v>
      </c>
      <c r="I131" s="3" t="inlineStr">
        <is>
          <t>10:00-10:59</t>
        </is>
      </c>
      <c r="J131" s="3" t="inlineStr">
        <is>
          <t>VTC</t>
        </is>
      </c>
      <c r="K131" s="28" t="n">
        <v>17.37</v>
      </c>
      <c r="L131" s="3" t="inlineStr">
        <is>
          <t>app</t>
        </is>
      </c>
      <c r="M131" s="3" t="b">
        <v>0</v>
      </c>
      <c r="N131" s="3" t="b">
        <v>0</v>
      </c>
      <c r="O131" s="3" t="b">
        <v>0</v>
      </c>
      <c r="P131" s="3" t="b">
        <v>1</v>
      </c>
      <c r="Q131" s="3">
        <f>IF(COUNTIF($B$2:B131,B131)=1,1,0)</f>
        <v/>
      </c>
    </row>
    <row r="132">
      <c r="A132" s="3" t="inlineStr">
        <is>
          <t>V131</t>
        </is>
      </c>
      <c r="B132" s="29" t="n">
        <v>46287</v>
      </c>
      <c r="C132" s="3" t="inlineStr">
        <is>
          <t>10:44</t>
        </is>
      </c>
      <c r="D132" s="3" t="inlineStr">
        <is>
          <t>2026-09</t>
        </is>
      </c>
      <c r="E132" s="3" t="n">
        <v>39</v>
      </c>
      <c r="F132" s="3" t="inlineStr">
        <is>
          <t>martes</t>
        </is>
      </c>
      <c r="G132" s="3" t="n">
        <v>1</v>
      </c>
      <c r="H132" s="3" t="n">
        <v>10</v>
      </c>
      <c r="I132" s="3" t="inlineStr">
        <is>
          <t>10:00-10:59</t>
        </is>
      </c>
      <c r="J132" s="3" t="inlineStr">
        <is>
          <t>VTC Eco</t>
        </is>
      </c>
      <c r="K132" s="28" t="n">
        <v>14.4</v>
      </c>
      <c r="L132" s="3" t="inlineStr">
        <is>
          <t>app</t>
        </is>
      </c>
      <c r="M132" s="3" t="b">
        <v>0</v>
      </c>
      <c r="N132" s="3" t="b">
        <v>0</v>
      </c>
      <c r="O132" s="3" t="b">
        <v>0</v>
      </c>
      <c r="P132" s="3" t="b">
        <v>1</v>
      </c>
      <c r="Q132" s="3">
        <f>IF(COUNTIF($B$2:B132,B132)=1,1,0)</f>
        <v/>
      </c>
    </row>
    <row r="133">
      <c r="A133" s="3" t="inlineStr">
        <is>
          <t>V132</t>
        </is>
      </c>
      <c r="B133" s="29" t="n">
        <v>46287</v>
      </c>
      <c r="C133" s="3" t="inlineStr">
        <is>
          <t>12:08</t>
        </is>
      </c>
      <c r="D133" s="3" t="inlineStr">
        <is>
          <t>2026-09</t>
        </is>
      </c>
      <c r="E133" s="3" t="n">
        <v>39</v>
      </c>
      <c r="F133" s="3" t="inlineStr">
        <is>
          <t>martes</t>
        </is>
      </c>
      <c r="G133" s="3" t="n">
        <v>1</v>
      </c>
      <c r="H133" s="3" t="n">
        <v>12</v>
      </c>
      <c r="I133" s="3" t="inlineStr">
        <is>
          <t>12:00-12:59</t>
        </is>
      </c>
      <c r="J133" s="3" t="inlineStr">
        <is>
          <t>VTC</t>
        </is>
      </c>
      <c r="K133" s="28" t="n">
        <v>0</v>
      </c>
      <c r="L133" s="3" t="inlineStr">
        <is>
          <t>app</t>
        </is>
      </c>
      <c r="M133" s="3" t="b">
        <v>1</v>
      </c>
      <c r="N133" s="3" t="b">
        <v>0</v>
      </c>
      <c r="O133" s="3" t="b">
        <v>0</v>
      </c>
      <c r="P133" s="3" t="b">
        <v>1</v>
      </c>
      <c r="Q133" s="3">
        <f>IF(COUNTIF($B$2:B133,B133)=1,1,0)</f>
        <v/>
      </c>
    </row>
    <row r="134">
      <c r="A134" s="3" t="inlineStr">
        <is>
          <t>V133</t>
        </is>
      </c>
      <c r="B134" s="29" t="n">
        <v>46288</v>
      </c>
      <c r="C134" s="3" t="inlineStr">
        <is>
          <t>07:40</t>
        </is>
      </c>
      <c r="D134" s="3" t="inlineStr">
        <is>
          <t>2026-09</t>
        </is>
      </c>
      <c r="E134" s="3" t="n">
        <v>39</v>
      </c>
      <c r="F134" s="3" t="inlineStr">
        <is>
          <t>miércoles</t>
        </is>
      </c>
      <c r="G134" s="3" t="n">
        <v>2</v>
      </c>
      <c r="H134" s="3" t="n">
        <v>7</v>
      </c>
      <c r="I134" s="3" t="inlineStr">
        <is>
          <t>07:00-07:59</t>
        </is>
      </c>
      <c r="J134" s="3" t="inlineStr">
        <is>
          <t>VTC Eco</t>
        </is>
      </c>
      <c r="K134" s="28" t="n">
        <v>6</v>
      </c>
      <c r="L134" s="3" t="inlineStr">
        <is>
          <t>app</t>
        </is>
      </c>
      <c r="M134" s="3" t="b">
        <v>0</v>
      </c>
      <c r="N134" s="3" t="b">
        <v>1</v>
      </c>
      <c r="O134" s="3" t="b">
        <v>0</v>
      </c>
      <c r="P134" s="3" t="b">
        <v>1</v>
      </c>
      <c r="Q134" s="3">
        <f>IF(COUNTIF($B$2:B134,B134)=1,1,0)</f>
        <v/>
      </c>
    </row>
    <row r="135">
      <c r="A135" s="3" t="inlineStr">
        <is>
          <t>V134</t>
        </is>
      </c>
      <c r="B135" s="29" t="n">
        <v>46288</v>
      </c>
      <c r="C135" s="3" t="inlineStr">
        <is>
          <t>08:08</t>
        </is>
      </c>
      <c r="D135" s="3" t="inlineStr">
        <is>
          <t>2026-09</t>
        </is>
      </c>
      <c r="E135" s="3" t="n">
        <v>39</v>
      </c>
      <c r="F135" s="3" t="inlineStr">
        <is>
          <t>miércoles</t>
        </is>
      </c>
      <c r="G135" s="3" t="n">
        <v>2</v>
      </c>
      <c r="H135" s="3" t="n">
        <v>8</v>
      </c>
      <c r="I135" s="3" t="inlineStr">
        <is>
          <t>08:00-08:59</t>
        </is>
      </c>
      <c r="J135" s="3" t="inlineStr">
        <is>
          <t>VTC Eco</t>
        </is>
      </c>
      <c r="K135" s="28" t="n">
        <v>19.06</v>
      </c>
      <c r="L135" s="3" t="inlineStr">
        <is>
          <t>app</t>
        </is>
      </c>
      <c r="M135" s="3" t="b">
        <v>0</v>
      </c>
      <c r="N135" s="3" t="b">
        <v>0</v>
      </c>
      <c r="O135" s="3" t="b">
        <v>0</v>
      </c>
      <c r="P135" s="3" t="b">
        <v>1</v>
      </c>
      <c r="Q135" s="3">
        <f>IF(COUNTIF($B$2:B135,B135)=1,1,0)</f>
        <v/>
      </c>
    </row>
    <row r="136">
      <c r="A136" s="3" t="inlineStr">
        <is>
          <t>V135</t>
        </is>
      </c>
      <c r="B136" s="29" t="n">
        <v>46288</v>
      </c>
      <c r="C136" s="3" t="inlineStr">
        <is>
          <t>08:44</t>
        </is>
      </c>
      <c r="D136" s="3" t="inlineStr">
        <is>
          <t>2026-09</t>
        </is>
      </c>
      <c r="E136" s="3" t="n">
        <v>39</v>
      </c>
      <c r="F136" s="3" t="inlineStr">
        <is>
          <t>miércoles</t>
        </is>
      </c>
      <c r="G136" s="3" t="n">
        <v>2</v>
      </c>
      <c r="H136" s="3" t="n">
        <v>8</v>
      </c>
      <c r="I136" s="3" t="inlineStr">
        <is>
          <t>08:00-08:59</t>
        </is>
      </c>
      <c r="J136" s="3" t="inlineStr">
        <is>
          <t>Electric</t>
        </is>
      </c>
      <c r="K136" s="28" t="n">
        <v>10.98</v>
      </c>
      <c r="L136" s="3" t="inlineStr">
        <is>
          <t>app</t>
        </is>
      </c>
      <c r="M136" s="3" t="b">
        <v>0</v>
      </c>
      <c r="N136" s="3" t="b">
        <v>0</v>
      </c>
      <c r="O136" s="3" t="b">
        <v>0</v>
      </c>
      <c r="P136" s="3" t="b">
        <v>1</v>
      </c>
      <c r="Q136" s="3">
        <f>IF(COUNTIF($B$2:B136,B136)=1,1,0)</f>
        <v/>
      </c>
    </row>
    <row r="137">
      <c r="A137" s="3" t="inlineStr">
        <is>
          <t>V136</t>
        </is>
      </c>
      <c r="B137" s="29" t="n">
        <v>46288</v>
      </c>
      <c r="C137" s="3" t="inlineStr">
        <is>
          <t>09:23</t>
        </is>
      </c>
      <c r="D137" s="3" t="inlineStr">
        <is>
          <t>2026-09</t>
        </is>
      </c>
      <c r="E137" s="3" t="n">
        <v>39</v>
      </c>
      <c r="F137" s="3" t="inlineStr">
        <is>
          <t>miércoles</t>
        </is>
      </c>
      <c r="G137" s="3" t="n">
        <v>2</v>
      </c>
      <c r="H137" s="3" t="n">
        <v>9</v>
      </c>
      <c r="I137" s="3" t="inlineStr">
        <is>
          <t>09:00-09:59</t>
        </is>
      </c>
      <c r="J137" s="3" t="inlineStr">
        <is>
          <t>VTC</t>
        </is>
      </c>
      <c r="K137" s="28" t="n">
        <v>38.95</v>
      </c>
      <c r="L137" s="3" t="inlineStr">
        <is>
          <t>app</t>
        </is>
      </c>
      <c r="M137" s="3" t="b">
        <v>0</v>
      </c>
      <c r="N137" s="3" t="b">
        <v>0</v>
      </c>
      <c r="O137" s="3" t="b">
        <v>0</v>
      </c>
      <c r="P137" s="3" t="b">
        <v>1</v>
      </c>
      <c r="Q137" s="3">
        <f>IF(COUNTIF($B$2:B137,B137)=1,1,0)</f>
        <v/>
      </c>
    </row>
    <row r="138">
      <c r="A138" s="3" t="inlineStr">
        <is>
          <t>V137</t>
        </is>
      </c>
      <c r="B138" s="29" t="n">
        <v>46288</v>
      </c>
      <c r="C138" s="3" t="inlineStr">
        <is>
          <t>10:16</t>
        </is>
      </c>
      <c r="D138" s="3" t="inlineStr">
        <is>
          <t>2026-09</t>
        </is>
      </c>
      <c r="E138" s="3" t="n">
        <v>39</v>
      </c>
      <c r="F138" s="3" t="inlineStr">
        <is>
          <t>miércoles</t>
        </is>
      </c>
      <c r="G138" s="3" t="n">
        <v>2</v>
      </c>
      <c r="H138" s="3" t="n">
        <v>10</v>
      </c>
      <c r="I138" s="3" t="inlineStr">
        <is>
          <t>10:00-10:59</t>
        </is>
      </c>
      <c r="J138" s="3" t="inlineStr">
        <is>
          <t>VTC Prioritario</t>
        </is>
      </c>
      <c r="K138" s="28" t="n">
        <v>10.88</v>
      </c>
      <c r="L138" s="3" t="inlineStr">
        <is>
          <t>app</t>
        </is>
      </c>
      <c r="M138" s="3" t="b">
        <v>0</v>
      </c>
      <c r="N138" s="3" t="b">
        <v>0</v>
      </c>
      <c r="O138" s="3" t="b">
        <v>0</v>
      </c>
      <c r="P138" s="3" t="b">
        <v>1</v>
      </c>
      <c r="Q138" s="3">
        <f>IF(COUNTIF($B$2:B138,B138)=1,1,0)</f>
        <v/>
      </c>
    </row>
    <row r="139">
      <c r="A139" s="3" t="inlineStr">
        <is>
          <t>V138</t>
        </is>
      </c>
      <c r="B139" s="29" t="n">
        <v>46288</v>
      </c>
      <c r="C139" s="3" t="inlineStr">
        <is>
          <t>11:40</t>
        </is>
      </c>
      <c r="D139" s="3" t="inlineStr">
        <is>
          <t>2026-09</t>
        </is>
      </c>
      <c r="E139" s="3" t="n">
        <v>39</v>
      </c>
      <c r="F139" s="3" t="inlineStr">
        <is>
          <t>miércoles</t>
        </is>
      </c>
      <c r="G139" s="3" t="n">
        <v>2</v>
      </c>
      <c r="H139" s="3" t="n">
        <v>11</v>
      </c>
      <c r="I139" s="3" t="inlineStr">
        <is>
          <t>11:00-11:59</t>
        </is>
      </c>
      <c r="J139" s="3" t="inlineStr">
        <is>
          <t>VTC</t>
        </is>
      </c>
      <c r="K139" s="28" t="n">
        <v>6</v>
      </c>
      <c r="L139" s="3" t="inlineStr">
        <is>
          <t>app</t>
        </is>
      </c>
      <c r="M139" s="3" t="b">
        <v>0</v>
      </c>
      <c r="N139" s="3" t="b">
        <v>1</v>
      </c>
      <c r="O139" s="3" t="b">
        <v>0</v>
      </c>
      <c r="P139" s="3" t="b">
        <v>1</v>
      </c>
      <c r="Q139" s="3">
        <f>IF(COUNTIF($B$2:B139,B139)=1,1,0)</f>
        <v/>
      </c>
    </row>
    <row r="140">
      <c r="A140" s="3" t="inlineStr">
        <is>
          <t>V139</t>
        </is>
      </c>
      <c r="B140" s="29" t="n">
        <v>46288</v>
      </c>
      <c r="C140" s="3" t="inlineStr">
        <is>
          <t>12:02</t>
        </is>
      </c>
      <c r="D140" s="3" t="inlineStr">
        <is>
          <t>2026-09</t>
        </is>
      </c>
      <c r="E140" s="3" t="n">
        <v>39</v>
      </c>
      <c r="F140" s="3" t="inlineStr">
        <is>
          <t>miércoles</t>
        </is>
      </c>
      <c r="G140" s="3" t="n">
        <v>2</v>
      </c>
      <c r="H140" s="3" t="n">
        <v>12</v>
      </c>
      <c r="I140" s="3" t="inlineStr">
        <is>
          <t>12:00-12:59</t>
        </is>
      </c>
      <c r="J140" s="3" t="inlineStr">
        <is>
          <t>VTC</t>
        </is>
      </c>
      <c r="K140" s="28" t="n">
        <v>6</v>
      </c>
      <c r="L140" s="3" t="inlineStr">
        <is>
          <t>app</t>
        </is>
      </c>
      <c r="M140" s="3" t="b">
        <v>0</v>
      </c>
      <c r="N140" s="3" t="b">
        <v>1</v>
      </c>
      <c r="O140" s="3" t="b">
        <v>0</v>
      </c>
      <c r="P140" s="3" t="b">
        <v>1</v>
      </c>
      <c r="Q140" s="3">
        <f>IF(COUNTIF($B$2:B140,B140)=1,1,0)</f>
        <v/>
      </c>
    </row>
    <row r="141">
      <c r="A141" s="3" t="inlineStr">
        <is>
          <t>V140</t>
        </is>
      </c>
      <c r="B141" s="29" t="n">
        <v>46289</v>
      </c>
      <c r="C141" s="3" t="inlineStr">
        <is>
          <t>07:22</t>
        </is>
      </c>
      <c r="D141" s="3" t="inlineStr">
        <is>
          <t>2026-09</t>
        </is>
      </c>
      <c r="E141" s="3" t="n">
        <v>39</v>
      </c>
      <c r="F141" s="3" t="inlineStr">
        <is>
          <t>jueves</t>
        </is>
      </c>
      <c r="G141" s="3" t="n">
        <v>3</v>
      </c>
      <c r="H141" s="3" t="n">
        <v>7</v>
      </c>
      <c r="I141" s="3" t="inlineStr">
        <is>
          <t>07:00-07:59</t>
        </is>
      </c>
      <c r="J141" s="3" t="inlineStr">
        <is>
          <t>VTC</t>
        </is>
      </c>
      <c r="K141" s="28" t="n">
        <v>13.68</v>
      </c>
      <c r="L141" s="3" t="inlineStr">
        <is>
          <t>app</t>
        </is>
      </c>
      <c r="M141" s="3" t="b">
        <v>0</v>
      </c>
      <c r="N141" s="3" t="b">
        <v>0</v>
      </c>
      <c r="O141" s="3" t="b">
        <v>0</v>
      </c>
      <c r="P141" s="3" t="b">
        <v>1</v>
      </c>
      <c r="Q141" s="3">
        <f>IF(COUNTIF($B$2:B141,B141)=1,1,0)</f>
        <v/>
      </c>
    </row>
    <row r="142">
      <c r="A142" s="3" t="inlineStr">
        <is>
          <t>V141</t>
        </is>
      </c>
      <c r="B142" s="29" t="n">
        <v>46289</v>
      </c>
      <c r="C142" s="3" t="inlineStr">
        <is>
          <t>08:07</t>
        </is>
      </c>
      <c r="D142" s="3" t="inlineStr">
        <is>
          <t>2026-09</t>
        </is>
      </c>
      <c r="E142" s="3" t="n">
        <v>39</v>
      </c>
      <c r="F142" s="3" t="inlineStr">
        <is>
          <t>jueves</t>
        </is>
      </c>
      <c r="G142" s="3" t="n">
        <v>3</v>
      </c>
      <c r="H142" s="3" t="n">
        <v>8</v>
      </c>
      <c r="I142" s="3" t="inlineStr">
        <is>
          <t>08:00-08:59</t>
        </is>
      </c>
      <c r="J142" s="3" t="inlineStr">
        <is>
          <t>VTC Promo</t>
        </is>
      </c>
      <c r="K142" s="28" t="n">
        <v>14.93</v>
      </c>
      <c r="L142" s="3" t="inlineStr">
        <is>
          <t>app</t>
        </is>
      </c>
      <c r="M142" s="3" t="b">
        <v>0</v>
      </c>
      <c r="N142" s="3" t="b">
        <v>0</v>
      </c>
      <c r="O142" s="3" t="b">
        <v>0</v>
      </c>
      <c r="P142" s="3" t="b">
        <v>1</v>
      </c>
      <c r="Q142" s="3">
        <f>IF(COUNTIF($B$2:B142,B142)=1,1,0)</f>
        <v/>
      </c>
    </row>
    <row r="143">
      <c r="A143" s="3" t="inlineStr">
        <is>
          <t>V142</t>
        </is>
      </c>
      <c r="B143" s="29" t="n">
        <v>46289</v>
      </c>
      <c r="C143" s="3" t="inlineStr">
        <is>
          <t>08:52</t>
        </is>
      </c>
      <c r="D143" s="3" t="inlineStr">
        <is>
          <t>2026-09</t>
        </is>
      </c>
      <c r="E143" s="3" t="n">
        <v>39</v>
      </c>
      <c r="F143" s="3" t="inlineStr">
        <is>
          <t>jueves</t>
        </is>
      </c>
      <c r="G143" s="3" t="n">
        <v>3</v>
      </c>
      <c r="H143" s="3" t="n">
        <v>8</v>
      </c>
      <c r="I143" s="3" t="inlineStr">
        <is>
          <t>08:00-08:59</t>
        </is>
      </c>
      <c r="J143" s="3" t="inlineStr">
        <is>
          <t>VTC</t>
        </is>
      </c>
      <c r="K143" s="28" t="n">
        <v>15.17</v>
      </c>
      <c r="L143" s="3" t="inlineStr">
        <is>
          <t>app</t>
        </is>
      </c>
      <c r="M143" s="3" t="b">
        <v>0</v>
      </c>
      <c r="N143" s="3" t="b">
        <v>0</v>
      </c>
      <c r="O143" s="3" t="b">
        <v>0</v>
      </c>
      <c r="P143" s="3" t="b">
        <v>1</v>
      </c>
      <c r="Q143" s="3">
        <f>IF(COUNTIF($B$2:B143,B143)=1,1,0)</f>
        <v/>
      </c>
    </row>
    <row r="144">
      <c r="A144" s="3" t="inlineStr">
        <is>
          <t>V143</t>
        </is>
      </c>
      <c r="B144" s="29" t="n">
        <v>46289</v>
      </c>
      <c r="C144" s="3" t="inlineStr">
        <is>
          <t>09:57</t>
        </is>
      </c>
      <c r="D144" s="3" t="inlineStr">
        <is>
          <t>2026-09</t>
        </is>
      </c>
      <c r="E144" s="3" t="n">
        <v>39</v>
      </c>
      <c r="F144" s="3" t="inlineStr">
        <is>
          <t>jueves</t>
        </is>
      </c>
      <c r="G144" s="3" t="n">
        <v>3</v>
      </c>
      <c r="H144" s="3" t="n">
        <v>9</v>
      </c>
      <c r="I144" s="3" t="inlineStr">
        <is>
          <t>09:00-09:59</t>
        </is>
      </c>
      <c r="J144" s="3" t="inlineStr">
        <is>
          <t>VTC</t>
        </is>
      </c>
      <c r="K144" s="28" t="n">
        <v>10.68</v>
      </c>
      <c r="L144" s="3" t="inlineStr">
        <is>
          <t>app</t>
        </is>
      </c>
      <c r="M144" s="3" t="b">
        <v>0</v>
      </c>
      <c r="N144" s="3" t="b">
        <v>0</v>
      </c>
      <c r="O144" s="3" t="b">
        <v>0</v>
      </c>
      <c r="P144" s="3" t="b">
        <v>1</v>
      </c>
      <c r="Q144" s="3">
        <f>IF(COUNTIF($B$2:B144,B144)=1,1,0)</f>
        <v/>
      </c>
    </row>
    <row r="145">
      <c r="A145" s="3" t="inlineStr">
        <is>
          <t>V144</t>
        </is>
      </c>
      <c r="B145" s="29" t="n">
        <v>46289</v>
      </c>
      <c r="C145" s="3" t="inlineStr">
        <is>
          <t>10:19</t>
        </is>
      </c>
      <c r="D145" s="3" t="inlineStr">
        <is>
          <t>2026-09</t>
        </is>
      </c>
      <c r="E145" s="3" t="n">
        <v>39</v>
      </c>
      <c r="F145" s="3" t="inlineStr">
        <is>
          <t>jueves</t>
        </is>
      </c>
      <c r="G145" s="3" t="n">
        <v>3</v>
      </c>
      <c r="H145" s="3" t="n">
        <v>10</v>
      </c>
      <c r="I145" s="3" t="inlineStr">
        <is>
          <t>10:00-10:59</t>
        </is>
      </c>
      <c r="J145" s="3" t="inlineStr">
        <is>
          <t>VTC</t>
        </is>
      </c>
      <c r="K145" s="28" t="n">
        <v>13.27</v>
      </c>
      <c r="L145" s="3" t="inlineStr">
        <is>
          <t>app</t>
        </is>
      </c>
      <c r="M145" s="3" t="b">
        <v>0</v>
      </c>
      <c r="N145" s="3" t="b">
        <v>0</v>
      </c>
      <c r="O145" s="3" t="b">
        <v>0</v>
      </c>
      <c r="P145" s="3" t="b">
        <v>1</v>
      </c>
      <c r="Q145" s="3">
        <f>IF(COUNTIF($B$2:B145,B145)=1,1,0)</f>
        <v/>
      </c>
    </row>
    <row r="146">
      <c r="A146" s="3" t="inlineStr">
        <is>
          <t>V145</t>
        </is>
      </c>
      <c r="B146" s="29" t="n">
        <v>46289</v>
      </c>
      <c r="C146" s="3" t="inlineStr">
        <is>
          <t>10:57</t>
        </is>
      </c>
      <c r="D146" s="3" t="inlineStr">
        <is>
          <t>2026-09</t>
        </is>
      </c>
      <c r="E146" s="3" t="n">
        <v>39</v>
      </c>
      <c r="F146" s="3" t="inlineStr">
        <is>
          <t>jueves</t>
        </is>
      </c>
      <c r="G146" s="3" t="n">
        <v>3</v>
      </c>
      <c r="H146" s="3" t="n">
        <v>10</v>
      </c>
      <c r="I146" s="3" t="inlineStr">
        <is>
          <t>10:00-10:59</t>
        </is>
      </c>
      <c r="J146" s="3" t="inlineStr">
        <is>
          <t>VTC</t>
        </is>
      </c>
      <c r="K146" s="28" t="n">
        <v>0</v>
      </c>
      <c r="L146" s="3" t="inlineStr">
        <is>
          <t>app</t>
        </is>
      </c>
      <c r="M146" s="3" t="b">
        <v>1</v>
      </c>
      <c r="N146" s="3" t="b">
        <v>0</v>
      </c>
      <c r="O146" s="3" t="b">
        <v>0</v>
      </c>
      <c r="P146" s="3" t="b">
        <v>1</v>
      </c>
      <c r="Q146" s="3">
        <f>IF(COUNTIF($B$2:B146,B146)=1,1,0)</f>
        <v/>
      </c>
    </row>
    <row r="147">
      <c r="A147" s="3" t="inlineStr">
        <is>
          <t>V146</t>
        </is>
      </c>
      <c r="B147" s="29" t="n">
        <v>46289</v>
      </c>
      <c r="C147" s="3" t="inlineStr">
        <is>
          <t>11:02</t>
        </is>
      </c>
      <c r="D147" s="3" t="inlineStr">
        <is>
          <t>2026-09</t>
        </is>
      </c>
      <c r="E147" s="3" t="n">
        <v>39</v>
      </c>
      <c r="F147" s="3" t="inlineStr">
        <is>
          <t>jueves</t>
        </is>
      </c>
      <c r="G147" s="3" t="n">
        <v>3</v>
      </c>
      <c r="H147" s="3" t="n">
        <v>11</v>
      </c>
      <c r="I147" s="3" t="inlineStr">
        <is>
          <t>11:00-11:59</t>
        </is>
      </c>
      <c r="J147" s="3" t="inlineStr">
        <is>
          <t>VTC</t>
        </is>
      </c>
      <c r="K147" s="28" t="n">
        <v>8.51</v>
      </c>
      <c r="L147" s="3" t="inlineStr">
        <is>
          <t>app</t>
        </is>
      </c>
      <c r="M147" s="3" t="b">
        <v>0</v>
      </c>
      <c r="N147" s="3" t="b">
        <v>0</v>
      </c>
      <c r="O147" s="3" t="b">
        <v>0</v>
      </c>
      <c r="P147" s="3" t="b">
        <v>1</v>
      </c>
      <c r="Q147" s="3">
        <f>IF(COUNTIF($B$2:B147,B147)=1,1,0)</f>
        <v/>
      </c>
    </row>
    <row r="148">
      <c r="A148" s="3" t="inlineStr">
        <is>
          <t>V147</t>
        </is>
      </c>
      <c r="B148" s="29" t="n">
        <v>46293</v>
      </c>
      <c r="C148" s="3" t="inlineStr">
        <is>
          <t>06:29</t>
        </is>
      </c>
      <c r="D148" s="3" t="inlineStr">
        <is>
          <t>2026-09</t>
        </is>
      </c>
      <c r="E148" s="3" t="n">
        <v>40</v>
      </c>
      <c r="F148" s="3" t="inlineStr">
        <is>
          <t>lunes</t>
        </is>
      </c>
      <c r="G148" s="3" t="n">
        <v>0</v>
      </c>
      <c r="H148" s="3" t="n">
        <v>6</v>
      </c>
      <c r="I148" s="3" t="inlineStr">
        <is>
          <t>06:00-06:59</t>
        </is>
      </c>
      <c r="J148" s="3" t="inlineStr">
        <is>
          <t>VTC</t>
        </is>
      </c>
      <c r="K148" s="28" t="n">
        <v>8.92</v>
      </c>
      <c r="L148" s="3" t="inlineStr">
        <is>
          <t>app</t>
        </is>
      </c>
      <c r="M148" s="3" t="b">
        <v>0</v>
      </c>
      <c r="N148" s="3" t="b">
        <v>0</v>
      </c>
      <c r="O148" s="3" t="b">
        <v>0</v>
      </c>
      <c r="P148" s="3" t="b">
        <v>1</v>
      </c>
      <c r="Q148" s="3">
        <f>IF(COUNTIF($B$2:B148,B148)=1,1,0)</f>
        <v/>
      </c>
    </row>
    <row r="149">
      <c r="A149" s="3" t="inlineStr">
        <is>
          <t>V148</t>
        </is>
      </c>
      <c r="B149" s="29" t="n">
        <v>46293</v>
      </c>
      <c r="C149" s="3" t="inlineStr">
        <is>
          <t>06:50</t>
        </is>
      </c>
      <c r="D149" s="3" t="inlineStr">
        <is>
          <t>2026-09</t>
        </is>
      </c>
      <c r="E149" s="3" t="n">
        <v>40</v>
      </c>
      <c r="F149" s="3" t="inlineStr">
        <is>
          <t>lunes</t>
        </is>
      </c>
      <c r="G149" s="3" t="n">
        <v>0</v>
      </c>
      <c r="H149" s="3" t="n">
        <v>6</v>
      </c>
      <c r="I149" s="3" t="inlineStr">
        <is>
          <t>06:00-06:59</t>
        </is>
      </c>
      <c r="J149" s="3" t="inlineStr">
        <is>
          <t>VTC</t>
        </is>
      </c>
      <c r="K149" s="28" t="n">
        <v>18.38</v>
      </c>
      <c r="L149" s="3" t="inlineStr">
        <is>
          <t>app</t>
        </is>
      </c>
      <c r="M149" s="3" t="b">
        <v>0</v>
      </c>
      <c r="N149" s="3" t="b">
        <v>0</v>
      </c>
      <c r="O149" s="3" t="b">
        <v>0</v>
      </c>
      <c r="P149" s="3" t="b">
        <v>1</v>
      </c>
      <c r="Q149" s="3">
        <f>IF(COUNTIF($B$2:B149,B149)=1,1,0)</f>
        <v/>
      </c>
    </row>
    <row r="150">
      <c r="A150" s="3" t="inlineStr">
        <is>
          <t>V149</t>
        </is>
      </c>
      <c r="B150" s="29" t="n">
        <v>46293</v>
      </c>
      <c r="C150" s="3" t="inlineStr">
        <is>
          <t>08:17</t>
        </is>
      </c>
      <c r="D150" s="3" t="inlineStr">
        <is>
          <t>2026-09</t>
        </is>
      </c>
      <c r="E150" s="3" t="n">
        <v>40</v>
      </c>
      <c r="F150" s="3" t="inlineStr">
        <is>
          <t>lunes</t>
        </is>
      </c>
      <c r="G150" s="3" t="n">
        <v>0</v>
      </c>
      <c r="H150" s="3" t="n">
        <v>8</v>
      </c>
      <c r="I150" s="3" t="inlineStr">
        <is>
          <t>08:00-08:59</t>
        </is>
      </c>
      <c r="J150" s="3" t="inlineStr">
        <is>
          <t>VTC</t>
        </is>
      </c>
      <c r="K150" s="28" t="n">
        <v>33.13</v>
      </c>
      <c r="L150" s="3" t="inlineStr">
        <is>
          <t>app</t>
        </is>
      </c>
      <c r="M150" s="3" t="b">
        <v>0</v>
      </c>
      <c r="N150" s="3" t="b">
        <v>0</v>
      </c>
      <c r="O150" s="3" t="b">
        <v>0</v>
      </c>
      <c r="P150" s="3" t="b">
        <v>1</v>
      </c>
      <c r="Q150" s="3">
        <f>IF(COUNTIF($B$2:B150,B150)=1,1,0)</f>
        <v/>
      </c>
    </row>
    <row r="151">
      <c r="A151" s="3" t="inlineStr">
        <is>
          <t>V150</t>
        </is>
      </c>
      <c r="B151" s="29" t="n">
        <v>46293</v>
      </c>
      <c r="C151" s="3" t="inlineStr">
        <is>
          <t>09:14</t>
        </is>
      </c>
      <c r="D151" s="3" t="inlineStr">
        <is>
          <t>2026-09</t>
        </is>
      </c>
      <c r="E151" s="3" t="n">
        <v>40</v>
      </c>
      <c r="F151" s="3" t="inlineStr">
        <is>
          <t>lunes</t>
        </is>
      </c>
      <c r="G151" s="3" t="n">
        <v>0</v>
      </c>
      <c r="H151" s="3" t="n">
        <v>9</v>
      </c>
      <c r="I151" s="3" t="inlineStr">
        <is>
          <t>09:00-09:59</t>
        </is>
      </c>
      <c r="J151" s="3" t="inlineStr">
        <is>
          <t>VTC Airport</t>
        </is>
      </c>
      <c r="K151" s="28" t="n">
        <v>7.46</v>
      </c>
      <c r="L151" s="3" t="inlineStr">
        <is>
          <t>app</t>
        </is>
      </c>
      <c r="M151" s="3" t="b">
        <v>0</v>
      </c>
      <c r="N151" s="3" t="b">
        <v>0</v>
      </c>
      <c r="O151" s="3" t="b">
        <v>1</v>
      </c>
      <c r="P151" s="3" t="b">
        <v>1</v>
      </c>
      <c r="Q151" s="3">
        <f>IF(COUNTIF($B$2:B151,B151)=1,1,0)</f>
        <v/>
      </c>
    </row>
    <row r="152">
      <c r="A152" s="3" t="inlineStr">
        <is>
          <t>V151</t>
        </is>
      </c>
      <c r="B152" s="29" t="n">
        <v>46293</v>
      </c>
      <c r="C152" s="3" t="inlineStr">
        <is>
          <t>09:45</t>
        </is>
      </c>
      <c r="D152" s="3" t="inlineStr">
        <is>
          <t>2026-09</t>
        </is>
      </c>
      <c r="E152" s="3" t="n">
        <v>40</v>
      </c>
      <c r="F152" s="3" t="inlineStr">
        <is>
          <t>lunes</t>
        </is>
      </c>
      <c r="G152" s="3" t="n">
        <v>0</v>
      </c>
      <c r="H152" s="3" t="n">
        <v>9</v>
      </c>
      <c r="I152" s="3" t="inlineStr">
        <is>
          <t>09:00-09:59</t>
        </is>
      </c>
      <c r="J152" s="3" t="inlineStr">
        <is>
          <t>VTC Airport</t>
        </is>
      </c>
      <c r="K152" s="28" t="n">
        <v>10.32</v>
      </c>
      <c r="L152" s="3" t="inlineStr">
        <is>
          <t>app</t>
        </is>
      </c>
      <c r="M152" s="3" t="b">
        <v>0</v>
      </c>
      <c r="N152" s="3" t="b">
        <v>0</v>
      </c>
      <c r="O152" s="3" t="b">
        <v>1</v>
      </c>
      <c r="P152" s="3" t="b">
        <v>1</v>
      </c>
      <c r="Q152" s="3">
        <f>IF(COUNTIF($B$2:B152,B152)=1,1,0)</f>
        <v/>
      </c>
    </row>
    <row r="153">
      <c r="A153" s="3" t="inlineStr">
        <is>
          <t>V152</t>
        </is>
      </c>
      <c r="B153" s="29" t="n">
        <v>46293</v>
      </c>
      <c r="C153" s="3" t="inlineStr">
        <is>
          <t>11:36</t>
        </is>
      </c>
      <c r="D153" s="3" t="inlineStr">
        <is>
          <t>2026-09</t>
        </is>
      </c>
      <c r="E153" s="3" t="n">
        <v>40</v>
      </c>
      <c r="F153" s="3" t="inlineStr">
        <is>
          <t>lunes</t>
        </is>
      </c>
      <c r="G153" s="3" t="n">
        <v>0</v>
      </c>
      <c r="H153" s="3" t="n">
        <v>11</v>
      </c>
      <c r="I153" s="3" t="inlineStr">
        <is>
          <t>11:00-11:59</t>
        </is>
      </c>
      <c r="J153" s="3" t="inlineStr">
        <is>
          <t>Desconocido</t>
        </is>
      </c>
      <c r="K153" s="28" t="n">
        <v>6.55</v>
      </c>
      <c r="L153" s="3" t="inlineStr">
        <is>
          <t>app</t>
        </is>
      </c>
      <c r="M153" s="3" t="b">
        <v>0</v>
      </c>
      <c r="N153" s="3" t="b">
        <v>0</v>
      </c>
      <c r="O153" s="3" t="b">
        <v>0</v>
      </c>
      <c r="P153" s="3" t="b">
        <v>1</v>
      </c>
      <c r="Q153" s="3">
        <f>IF(COUNTIF($B$2:B153,B153)=1,1,0)</f>
        <v/>
      </c>
    </row>
    <row r="154">
      <c r="A154" s="3" t="inlineStr">
        <is>
          <t>V153</t>
        </is>
      </c>
      <c r="B154" s="29" t="n">
        <v>46293</v>
      </c>
      <c r="C154" s="3" t="inlineStr">
        <is>
          <t>11:54</t>
        </is>
      </c>
      <c r="D154" s="3" t="inlineStr">
        <is>
          <t>2026-09</t>
        </is>
      </c>
      <c r="E154" s="3" t="n">
        <v>40</v>
      </c>
      <c r="F154" s="3" t="inlineStr">
        <is>
          <t>lunes</t>
        </is>
      </c>
      <c r="G154" s="3" t="n">
        <v>0</v>
      </c>
      <c r="H154" s="3" t="n">
        <v>11</v>
      </c>
      <c r="I154" s="3" t="inlineStr">
        <is>
          <t>11:00-11:59</t>
        </is>
      </c>
      <c r="J154" s="3" t="inlineStr">
        <is>
          <t>VTC Prioritario</t>
        </is>
      </c>
      <c r="K154" s="28" t="n">
        <v>6</v>
      </c>
      <c r="L154" s="3" t="inlineStr">
        <is>
          <t>app</t>
        </is>
      </c>
      <c r="M154" s="3" t="b">
        <v>0</v>
      </c>
      <c r="N154" s="3" t="b">
        <v>1</v>
      </c>
      <c r="O154" s="3" t="b">
        <v>0</v>
      </c>
      <c r="P154" s="3" t="b">
        <v>1</v>
      </c>
      <c r="Q154" s="3">
        <f>IF(COUNTIF($B$2:B154,B154)=1,1,0)</f>
        <v/>
      </c>
    </row>
    <row r="155">
      <c r="A155" s="3" t="inlineStr">
        <is>
          <t>V154</t>
        </is>
      </c>
      <c r="B155" s="29" t="n">
        <v>46294</v>
      </c>
      <c r="C155" s="3" t="inlineStr">
        <is>
          <t>06:19</t>
        </is>
      </c>
      <c r="D155" s="3" t="inlineStr">
        <is>
          <t>2026-09</t>
        </is>
      </c>
      <c r="E155" s="3" t="n">
        <v>40</v>
      </c>
      <c r="F155" s="3" t="inlineStr">
        <is>
          <t>martes</t>
        </is>
      </c>
      <c r="G155" s="3" t="n">
        <v>1</v>
      </c>
      <c r="H155" s="3" t="n">
        <v>6</v>
      </c>
      <c r="I155" s="3" t="inlineStr">
        <is>
          <t>06:00-06:59</t>
        </is>
      </c>
      <c r="J155" s="3" t="inlineStr">
        <is>
          <t>VTC</t>
        </is>
      </c>
      <c r="K155" s="28" t="n">
        <v>6.86</v>
      </c>
      <c r="L155" s="3" t="inlineStr">
        <is>
          <t>app</t>
        </is>
      </c>
      <c r="M155" s="3" t="b">
        <v>0</v>
      </c>
      <c r="N155" s="3" t="b">
        <v>0</v>
      </c>
      <c r="O155" s="3" t="b">
        <v>0</v>
      </c>
      <c r="P155" s="3" t="b">
        <v>1</v>
      </c>
      <c r="Q155" s="3">
        <f>IF(COUNTIF($B$2:B155,B155)=1,1,0)</f>
        <v/>
      </c>
    </row>
    <row r="156">
      <c r="A156" s="3" t="inlineStr">
        <is>
          <t>V155</t>
        </is>
      </c>
      <c r="B156" s="29" t="n">
        <v>46294</v>
      </c>
      <c r="C156" s="3" t="inlineStr">
        <is>
          <t>06:39</t>
        </is>
      </c>
      <c r="D156" s="3" t="inlineStr">
        <is>
          <t>2026-09</t>
        </is>
      </c>
      <c r="E156" s="3" t="n">
        <v>40</v>
      </c>
      <c r="F156" s="3" t="inlineStr">
        <is>
          <t>martes</t>
        </is>
      </c>
      <c r="G156" s="3" t="n">
        <v>1</v>
      </c>
      <c r="H156" s="3" t="n">
        <v>6</v>
      </c>
      <c r="I156" s="3" t="inlineStr">
        <is>
          <t>06:00-06:59</t>
        </is>
      </c>
      <c r="J156" s="3" t="inlineStr">
        <is>
          <t>VTC Prioritario</t>
        </is>
      </c>
      <c r="K156" s="28" t="n">
        <v>8.220000000000001</v>
      </c>
      <c r="L156" s="3" t="inlineStr">
        <is>
          <t>app</t>
        </is>
      </c>
      <c r="M156" s="3" t="b">
        <v>0</v>
      </c>
      <c r="N156" s="3" t="b">
        <v>0</v>
      </c>
      <c r="O156" s="3" t="b">
        <v>0</v>
      </c>
      <c r="P156" s="3" t="b">
        <v>1</v>
      </c>
      <c r="Q156" s="3">
        <f>IF(COUNTIF($B$2:B156,B156)=1,1,0)</f>
        <v/>
      </c>
    </row>
    <row r="157">
      <c r="A157" s="3" t="inlineStr">
        <is>
          <t>V156</t>
        </is>
      </c>
      <c r="B157" s="29" t="n">
        <v>46294</v>
      </c>
      <c r="C157" s="3" t="inlineStr">
        <is>
          <t>07:17</t>
        </is>
      </c>
      <c r="D157" s="3" t="inlineStr">
        <is>
          <t>2026-09</t>
        </is>
      </c>
      <c r="E157" s="3" t="n">
        <v>40</v>
      </c>
      <c r="F157" s="3" t="inlineStr">
        <is>
          <t>martes</t>
        </is>
      </c>
      <c r="G157" s="3" t="n">
        <v>1</v>
      </c>
      <c r="H157" s="3" t="n">
        <v>7</v>
      </c>
      <c r="I157" s="3" t="inlineStr">
        <is>
          <t>07:00-07:59</t>
        </is>
      </c>
      <c r="J157" s="3" t="inlineStr">
        <is>
          <t>VTC</t>
        </is>
      </c>
      <c r="K157" s="28" t="n">
        <v>0</v>
      </c>
      <c r="L157" s="3" t="inlineStr">
        <is>
          <t>app</t>
        </is>
      </c>
      <c r="M157" s="3" t="b">
        <v>1</v>
      </c>
      <c r="N157" s="3" t="b">
        <v>0</v>
      </c>
      <c r="O157" s="3" t="b">
        <v>0</v>
      </c>
      <c r="P157" s="3" t="b">
        <v>1</v>
      </c>
      <c r="Q157" s="3">
        <f>IF(COUNTIF($B$2:B157,B157)=1,1,0)</f>
        <v/>
      </c>
    </row>
    <row r="158">
      <c r="A158" s="3" t="inlineStr">
        <is>
          <t>V157</t>
        </is>
      </c>
      <c r="B158" s="29" t="n">
        <v>46294</v>
      </c>
      <c r="C158" s="3" t="inlineStr">
        <is>
          <t>07:29</t>
        </is>
      </c>
      <c r="D158" s="3" t="inlineStr">
        <is>
          <t>2026-09</t>
        </is>
      </c>
      <c r="E158" s="3" t="n">
        <v>40</v>
      </c>
      <c r="F158" s="3" t="inlineStr">
        <is>
          <t>martes</t>
        </is>
      </c>
      <c r="G158" s="3" t="n">
        <v>1</v>
      </c>
      <c r="H158" s="3" t="n">
        <v>7</v>
      </c>
      <c r="I158" s="3" t="inlineStr">
        <is>
          <t>07:00-07:59</t>
        </is>
      </c>
      <c r="J158" s="3" t="inlineStr">
        <is>
          <t>VTC</t>
        </is>
      </c>
      <c r="K158" s="28" t="n">
        <v>8.52</v>
      </c>
      <c r="L158" s="3" t="inlineStr">
        <is>
          <t>app</t>
        </is>
      </c>
      <c r="M158" s="3" t="b">
        <v>0</v>
      </c>
      <c r="N158" s="3" t="b">
        <v>0</v>
      </c>
      <c r="O158" s="3" t="b">
        <v>0</v>
      </c>
      <c r="P158" s="3" t="b">
        <v>1</v>
      </c>
      <c r="Q158" s="3">
        <f>IF(COUNTIF($B$2:B158,B158)=1,1,0)</f>
        <v/>
      </c>
    </row>
    <row r="159">
      <c r="A159" s="3" t="inlineStr">
        <is>
          <t>V158</t>
        </is>
      </c>
      <c r="B159" s="29" t="n">
        <v>46294</v>
      </c>
      <c r="C159" s="3" t="inlineStr">
        <is>
          <t>08:47</t>
        </is>
      </c>
      <c r="D159" s="3" t="inlineStr">
        <is>
          <t>2026-09</t>
        </is>
      </c>
      <c r="E159" s="3" t="n">
        <v>40</v>
      </c>
      <c r="F159" s="3" t="inlineStr">
        <is>
          <t>martes</t>
        </is>
      </c>
      <c r="G159" s="3" t="n">
        <v>1</v>
      </c>
      <c r="H159" s="3" t="n">
        <v>8</v>
      </c>
      <c r="I159" s="3" t="inlineStr">
        <is>
          <t>08:00-08:59</t>
        </is>
      </c>
      <c r="J159" s="3" t="inlineStr">
        <is>
          <t>VTC Eco</t>
        </is>
      </c>
      <c r="K159" s="28" t="n">
        <v>17.64</v>
      </c>
      <c r="L159" s="3" t="inlineStr">
        <is>
          <t>app</t>
        </is>
      </c>
      <c r="M159" s="3" t="b">
        <v>0</v>
      </c>
      <c r="N159" s="3" t="b">
        <v>0</v>
      </c>
      <c r="O159" s="3" t="b">
        <v>0</v>
      </c>
      <c r="P159" s="3" t="b">
        <v>1</v>
      </c>
      <c r="Q159" s="3">
        <f>IF(COUNTIF($B$2:B159,B159)=1,1,0)</f>
        <v/>
      </c>
    </row>
    <row r="160">
      <c r="A160" s="3" t="inlineStr">
        <is>
          <t>V159</t>
        </is>
      </c>
      <c r="B160" s="29" t="n">
        <v>46294</v>
      </c>
      <c r="C160" s="3" t="inlineStr">
        <is>
          <t>09:27</t>
        </is>
      </c>
      <c r="D160" s="3" t="inlineStr">
        <is>
          <t>2026-09</t>
        </is>
      </c>
      <c r="E160" s="3" t="n">
        <v>40</v>
      </c>
      <c r="F160" s="3" t="inlineStr">
        <is>
          <t>martes</t>
        </is>
      </c>
      <c r="G160" s="3" t="n">
        <v>1</v>
      </c>
      <c r="H160" s="3" t="n">
        <v>9</v>
      </c>
      <c r="I160" s="3" t="inlineStr">
        <is>
          <t>09:00-09:59</t>
        </is>
      </c>
      <c r="J160" s="3" t="inlineStr">
        <is>
          <t>VTC Airport</t>
        </is>
      </c>
      <c r="K160" s="28" t="n">
        <v>12.5</v>
      </c>
      <c r="L160" s="3" t="inlineStr">
        <is>
          <t>app</t>
        </is>
      </c>
      <c r="M160" s="3" t="b">
        <v>0</v>
      </c>
      <c r="N160" s="3" t="b">
        <v>0</v>
      </c>
      <c r="O160" s="3" t="b">
        <v>1</v>
      </c>
      <c r="P160" s="3" t="b">
        <v>1</v>
      </c>
      <c r="Q160" s="3">
        <f>IF(COUNTIF($B$2:B160,B160)=1,1,0)</f>
        <v/>
      </c>
    </row>
    <row r="161">
      <c r="A161" s="3" t="inlineStr">
        <is>
          <t>V160</t>
        </is>
      </c>
      <c r="B161" s="29" t="n">
        <v>46294</v>
      </c>
      <c r="C161" s="3" t="inlineStr">
        <is>
          <t>09:53</t>
        </is>
      </c>
      <c r="D161" s="3" t="inlineStr">
        <is>
          <t>2026-09</t>
        </is>
      </c>
      <c r="E161" s="3" t="n">
        <v>40</v>
      </c>
      <c r="F161" s="3" t="inlineStr">
        <is>
          <t>martes</t>
        </is>
      </c>
      <c r="G161" s="3" t="n">
        <v>1</v>
      </c>
      <c r="H161" s="3" t="n">
        <v>9</v>
      </c>
      <c r="I161" s="3" t="inlineStr">
        <is>
          <t>09:00-09:59</t>
        </is>
      </c>
      <c r="J161" s="3" t="inlineStr">
        <is>
          <t>VTC</t>
        </is>
      </c>
      <c r="K161" s="28" t="n">
        <v>13.22</v>
      </c>
      <c r="L161" s="3" t="inlineStr">
        <is>
          <t>app</t>
        </is>
      </c>
      <c r="M161" s="3" t="b">
        <v>0</v>
      </c>
      <c r="N161" s="3" t="b">
        <v>0</v>
      </c>
      <c r="O161" s="3" t="b">
        <v>0</v>
      </c>
      <c r="P161" s="3" t="b">
        <v>1</v>
      </c>
      <c r="Q161" s="3">
        <f>IF(COUNTIF($B$2:B161,B161)=1,1,0)</f>
        <v/>
      </c>
    </row>
    <row r="162">
      <c r="A162" s="3" t="inlineStr">
        <is>
          <t>V161</t>
        </is>
      </c>
      <c r="B162" s="29" t="n">
        <v>46294</v>
      </c>
      <c r="C162" s="3" t="inlineStr">
        <is>
          <t>11:22</t>
        </is>
      </c>
      <c r="D162" s="3" t="inlineStr">
        <is>
          <t>2026-09</t>
        </is>
      </c>
      <c r="E162" s="3" t="n">
        <v>40</v>
      </c>
      <c r="F162" s="3" t="inlineStr">
        <is>
          <t>martes</t>
        </is>
      </c>
      <c r="G162" s="3" t="n">
        <v>1</v>
      </c>
      <c r="H162" s="3" t="n">
        <v>11</v>
      </c>
      <c r="I162" s="3" t="inlineStr">
        <is>
          <t>11:00-11:59</t>
        </is>
      </c>
      <c r="J162" s="3" t="inlineStr">
        <is>
          <t>VTC</t>
        </is>
      </c>
      <c r="K162" s="28" t="n">
        <v>6</v>
      </c>
      <c r="L162" s="3" t="inlineStr">
        <is>
          <t>app</t>
        </is>
      </c>
      <c r="M162" s="3" t="b">
        <v>0</v>
      </c>
      <c r="N162" s="3" t="b">
        <v>1</v>
      </c>
      <c r="O162" s="3" t="b">
        <v>0</v>
      </c>
      <c r="P162" s="3" t="b">
        <v>1</v>
      </c>
      <c r="Q162" s="3">
        <f>IF(COUNTIF($B$2:B162,B162)=1,1,0)</f>
        <v/>
      </c>
    </row>
    <row r="163">
      <c r="A163" s="3" t="inlineStr">
        <is>
          <t>V162</t>
        </is>
      </c>
      <c r="B163" s="29" t="n">
        <v>46295</v>
      </c>
      <c r="C163" s="3" t="inlineStr">
        <is>
          <t>06:49</t>
        </is>
      </c>
      <c r="D163" s="3" t="inlineStr">
        <is>
          <t>2026-09</t>
        </is>
      </c>
      <c r="E163" s="3" t="n">
        <v>40</v>
      </c>
      <c r="F163" s="3" t="inlineStr">
        <is>
          <t>miércoles</t>
        </is>
      </c>
      <c r="G163" s="3" t="n">
        <v>2</v>
      </c>
      <c r="H163" s="3" t="n">
        <v>6</v>
      </c>
      <c r="I163" s="3" t="inlineStr">
        <is>
          <t>06:00-06:59</t>
        </is>
      </c>
      <c r="J163" s="3" t="inlineStr">
        <is>
          <t>VTC</t>
        </is>
      </c>
      <c r="K163" s="28" t="n">
        <v>7.89</v>
      </c>
      <c r="L163" s="3" t="inlineStr">
        <is>
          <t>app</t>
        </is>
      </c>
      <c r="M163" s="3" t="b">
        <v>0</v>
      </c>
      <c r="N163" s="3" t="b">
        <v>0</v>
      </c>
      <c r="O163" s="3" t="b">
        <v>0</v>
      </c>
      <c r="P163" s="3" t="b">
        <v>1</v>
      </c>
      <c r="Q163" s="3">
        <f>IF(COUNTIF($B$2:B163,B163)=1,1,0)</f>
        <v/>
      </c>
    </row>
    <row r="164">
      <c r="A164" s="3" t="inlineStr">
        <is>
          <t>V163</t>
        </is>
      </c>
      <c r="B164" s="29" t="n">
        <v>46295</v>
      </c>
      <c r="C164" s="3" t="inlineStr">
        <is>
          <t>07:12</t>
        </is>
      </c>
      <c r="D164" s="3" t="inlineStr">
        <is>
          <t>2026-09</t>
        </is>
      </c>
      <c r="E164" s="3" t="n">
        <v>40</v>
      </c>
      <c r="F164" s="3" t="inlineStr">
        <is>
          <t>miércoles</t>
        </is>
      </c>
      <c r="G164" s="3" t="n">
        <v>2</v>
      </c>
      <c r="H164" s="3" t="n">
        <v>7</v>
      </c>
      <c r="I164" s="3" t="inlineStr">
        <is>
          <t>07:00-07:59</t>
        </is>
      </c>
      <c r="J164" s="3" t="inlineStr">
        <is>
          <t>VTC Airport</t>
        </is>
      </c>
      <c r="K164" s="28" t="n">
        <v>17.81</v>
      </c>
      <c r="L164" s="3" t="inlineStr">
        <is>
          <t>app</t>
        </is>
      </c>
      <c r="M164" s="3" t="b">
        <v>0</v>
      </c>
      <c r="N164" s="3" t="b">
        <v>0</v>
      </c>
      <c r="O164" s="3" t="b">
        <v>1</v>
      </c>
      <c r="P164" s="3" t="b">
        <v>1</v>
      </c>
      <c r="Q164" s="3">
        <f>IF(COUNTIF($B$2:B164,B164)=1,1,0)</f>
        <v/>
      </c>
    </row>
    <row r="165">
      <c r="A165" s="3" t="inlineStr">
        <is>
          <t>V164</t>
        </is>
      </c>
      <c r="B165" s="29" t="n">
        <v>46295</v>
      </c>
      <c r="C165" s="3" t="inlineStr">
        <is>
          <t>07:58</t>
        </is>
      </c>
      <c r="D165" s="3" t="inlineStr">
        <is>
          <t>2026-09</t>
        </is>
      </c>
      <c r="E165" s="3" t="n">
        <v>40</v>
      </c>
      <c r="F165" s="3" t="inlineStr">
        <is>
          <t>miércoles</t>
        </is>
      </c>
      <c r="G165" s="3" t="n">
        <v>2</v>
      </c>
      <c r="H165" s="3" t="n">
        <v>7</v>
      </c>
      <c r="I165" s="3" t="inlineStr">
        <is>
          <t>07:00-07:59</t>
        </is>
      </c>
      <c r="J165" s="3" t="inlineStr">
        <is>
          <t>VTC Airport</t>
        </is>
      </c>
      <c r="K165" s="28" t="n">
        <v>6.12</v>
      </c>
      <c r="L165" s="3" t="inlineStr">
        <is>
          <t>app</t>
        </is>
      </c>
      <c r="M165" s="3" t="b">
        <v>0</v>
      </c>
      <c r="N165" s="3" t="b">
        <v>0</v>
      </c>
      <c r="O165" s="3" t="b">
        <v>1</v>
      </c>
      <c r="P165" s="3" t="b">
        <v>1</v>
      </c>
      <c r="Q165" s="3">
        <f>IF(COUNTIF($B$2:B165,B165)=1,1,0)</f>
        <v/>
      </c>
    </row>
    <row r="166">
      <c r="A166" s="3" t="inlineStr">
        <is>
          <t>V165</t>
        </is>
      </c>
      <c r="B166" s="29" t="n">
        <v>46295</v>
      </c>
      <c r="C166" s="3" t="inlineStr">
        <is>
          <t>08:30</t>
        </is>
      </c>
      <c r="D166" s="3" t="inlineStr">
        <is>
          <t>2026-09</t>
        </is>
      </c>
      <c r="E166" s="3" t="n">
        <v>40</v>
      </c>
      <c r="F166" s="3" t="inlineStr">
        <is>
          <t>miércoles</t>
        </is>
      </c>
      <c r="G166" s="3" t="n">
        <v>2</v>
      </c>
      <c r="H166" s="3" t="n">
        <v>8</v>
      </c>
      <c r="I166" s="3" t="inlineStr">
        <is>
          <t>08:00-08:59</t>
        </is>
      </c>
      <c r="J166" s="3" t="inlineStr">
        <is>
          <t>VTC Airport</t>
        </is>
      </c>
      <c r="K166" s="28" t="n">
        <v>45.12</v>
      </c>
      <c r="L166" s="3" t="inlineStr">
        <is>
          <t>app</t>
        </is>
      </c>
      <c r="M166" s="3" t="b">
        <v>0</v>
      </c>
      <c r="N166" s="3" t="b">
        <v>0</v>
      </c>
      <c r="O166" s="3" t="b">
        <v>1</v>
      </c>
      <c r="P166" s="3" t="b">
        <v>1</v>
      </c>
      <c r="Q166" s="3">
        <f>IF(COUNTIF($B$2:B166,B166)=1,1,0)</f>
        <v/>
      </c>
    </row>
    <row r="167">
      <c r="A167" s="3" t="inlineStr">
        <is>
          <t>V166</t>
        </is>
      </c>
      <c r="B167" s="29" t="n">
        <v>46295</v>
      </c>
      <c r="C167" s="3" t="inlineStr">
        <is>
          <t>09:36</t>
        </is>
      </c>
      <c r="D167" s="3" t="inlineStr">
        <is>
          <t>2026-09</t>
        </is>
      </c>
      <c r="E167" s="3" t="n">
        <v>40</v>
      </c>
      <c r="F167" s="3" t="inlineStr">
        <is>
          <t>miércoles</t>
        </is>
      </c>
      <c r="G167" s="3" t="n">
        <v>2</v>
      </c>
      <c r="H167" s="3" t="n">
        <v>9</v>
      </c>
      <c r="I167" s="3" t="inlineStr">
        <is>
          <t>09:00-09:59</t>
        </is>
      </c>
      <c r="J167" s="3" t="inlineStr">
        <is>
          <t>VTC Airport</t>
        </is>
      </c>
      <c r="K167" s="28" t="n">
        <v>14.39</v>
      </c>
      <c r="L167" s="3" t="inlineStr">
        <is>
          <t>app</t>
        </is>
      </c>
      <c r="M167" s="3" t="b">
        <v>0</v>
      </c>
      <c r="N167" s="3" t="b">
        <v>0</v>
      </c>
      <c r="O167" s="3" t="b">
        <v>1</v>
      </c>
      <c r="P167" s="3" t="b">
        <v>1</v>
      </c>
      <c r="Q167" s="3">
        <f>IF(COUNTIF($B$2:B167,B167)=1,1,0)</f>
        <v/>
      </c>
    </row>
    <row r="168">
      <c r="A168" s="3" t="inlineStr">
        <is>
          <t>V167</t>
        </is>
      </c>
      <c r="B168" s="29" t="n">
        <v>46295</v>
      </c>
      <c r="C168" s="3" t="inlineStr">
        <is>
          <t>10:18</t>
        </is>
      </c>
      <c r="D168" s="3" t="inlineStr">
        <is>
          <t>2026-09</t>
        </is>
      </c>
      <c r="E168" s="3" t="n">
        <v>40</v>
      </c>
      <c r="F168" s="3" t="inlineStr">
        <is>
          <t>miércoles</t>
        </is>
      </c>
      <c r="G168" s="3" t="n">
        <v>2</v>
      </c>
      <c r="H168" s="3" t="n">
        <v>10</v>
      </c>
      <c r="I168" s="3" t="inlineStr">
        <is>
          <t>10:00-10:59</t>
        </is>
      </c>
      <c r="J168" s="3" t="inlineStr">
        <is>
          <t>VTC</t>
        </is>
      </c>
      <c r="K168" s="28" t="n">
        <v>9.800000000000001</v>
      </c>
      <c r="L168" s="3" t="inlineStr">
        <is>
          <t>efectivo</t>
        </is>
      </c>
      <c r="M168" s="3" t="b">
        <v>0</v>
      </c>
      <c r="N168" s="3" t="b">
        <v>0</v>
      </c>
      <c r="O168" s="3" t="b">
        <v>0</v>
      </c>
      <c r="P168" s="3" t="b">
        <v>1</v>
      </c>
      <c r="Q168" s="3">
        <f>IF(COUNTIF($B$2:B168,B168)=1,1,0)</f>
        <v/>
      </c>
    </row>
    <row r="169">
      <c r="A169" s="3" t="inlineStr">
        <is>
          <t>V168</t>
        </is>
      </c>
      <c r="B169" s="29" t="n">
        <v>46295</v>
      </c>
      <c r="C169" s="3" t="inlineStr">
        <is>
          <t>10:55</t>
        </is>
      </c>
      <c r="D169" s="3" t="inlineStr">
        <is>
          <t>2026-09</t>
        </is>
      </c>
      <c r="E169" s="3" t="n">
        <v>40</v>
      </c>
      <c r="F169" s="3" t="inlineStr">
        <is>
          <t>miércoles</t>
        </is>
      </c>
      <c r="G169" s="3" t="n">
        <v>2</v>
      </c>
      <c r="H169" s="3" t="n">
        <v>10</v>
      </c>
      <c r="I169" s="3" t="inlineStr">
        <is>
          <t>10:00-10:59</t>
        </is>
      </c>
      <c r="J169" s="3" t="inlineStr">
        <is>
          <t>VTC</t>
        </is>
      </c>
      <c r="K169" s="28" t="n">
        <v>6</v>
      </c>
      <c r="L169" s="3" t="inlineStr">
        <is>
          <t>efectivo</t>
        </is>
      </c>
      <c r="M169" s="3" t="b">
        <v>0</v>
      </c>
      <c r="N169" s="3" t="b">
        <v>1</v>
      </c>
      <c r="O169" s="3" t="b">
        <v>0</v>
      </c>
      <c r="P169" s="3" t="b">
        <v>1</v>
      </c>
      <c r="Q169" s="3">
        <f>IF(COUNTIF($B$2:B169,B169)=1,1,0)</f>
        <v/>
      </c>
    </row>
    <row r="170">
      <c r="A170" s="3" t="inlineStr">
        <is>
          <t>V169</t>
        </is>
      </c>
      <c r="B170" s="29" t="n">
        <v>46295</v>
      </c>
      <c r="C170" s="3" t="inlineStr">
        <is>
          <t>11:20</t>
        </is>
      </c>
      <c r="D170" s="3" t="inlineStr">
        <is>
          <t>2026-09</t>
        </is>
      </c>
      <c r="E170" s="3" t="n">
        <v>40</v>
      </c>
      <c r="F170" s="3" t="inlineStr">
        <is>
          <t>miércoles</t>
        </is>
      </c>
      <c r="G170" s="3" t="n">
        <v>2</v>
      </c>
      <c r="H170" s="3" t="n">
        <v>11</v>
      </c>
      <c r="I170" s="3" t="inlineStr">
        <is>
          <t>11:00-11:59</t>
        </is>
      </c>
      <c r="J170" s="3" t="inlineStr">
        <is>
          <t>VTC Prioritario</t>
        </is>
      </c>
      <c r="K170" s="28" t="n">
        <v>0</v>
      </c>
      <c r="L170" s="3" t="inlineStr">
        <is>
          <t>app</t>
        </is>
      </c>
      <c r="M170" s="3" t="b">
        <v>1</v>
      </c>
      <c r="N170" s="3" t="b">
        <v>0</v>
      </c>
      <c r="O170" s="3" t="b">
        <v>0</v>
      </c>
      <c r="P170" s="3" t="b">
        <v>1</v>
      </c>
      <c r="Q170" s="3">
        <f>IF(COUNTIF($B$2:B170,B170)=1,1,0)</f>
        <v/>
      </c>
    </row>
    <row r="171">
      <c r="A171" s="3" t="inlineStr">
        <is>
          <t>V170</t>
        </is>
      </c>
      <c r="B171" s="29" t="n">
        <v>46296</v>
      </c>
      <c r="C171" s="3" t="inlineStr">
        <is>
          <t>06:49</t>
        </is>
      </c>
      <c r="D171" s="3" t="inlineStr">
        <is>
          <t>2026-10</t>
        </is>
      </c>
      <c r="E171" s="3" t="n">
        <v>40</v>
      </c>
      <c r="F171" s="3" t="inlineStr">
        <is>
          <t>jueves</t>
        </is>
      </c>
      <c r="G171" s="3" t="n">
        <v>3</v>
      </c>
      <c r="H171" s="3" t="n">
        <v>6</v>
      </c>
      <c r="I171" s="3" t="inlineStr">
        <is>
          <t>06:00-06:59</t>
        </is>
      </c>
      <c r="J171" s="3" t="inlineStr">
        <is>
          <t>VTC</t>
        </is>
      </c>
      <c r="K171" s="28" t="n">
        <v>6</v>
      </c>
      <c r="L171" s="3" t="inlineStr">
        <is>
          <t>app</t>
        </is>
      </c>
      <c r="M171" s="3" t="b">
        <v>0</v>
      </c>
      <c r="N171" s="3" t="b">
        <v>1</v>
      </c>
      <c r="O171" s="3" t="b">
        <v>0</v>
      </c>
      <c r="P171" s="3" t="b">
        <v>1</v>
      </c>
      <c r="Q171" s="3">
        <f>IF(COUNTIF($B$2:B171,B171)=1,1,0)</f>
        <v/>
      </c>
    </row>
    <row r="172">
      <c r="A172" s="3" t="inlineStr">
        <is>
          <t>V171</t>
        </is>
      </c>
      <c r="B172" s="29" t="n">
        <v>46296</v>
      </c>
      <c r="C172" s="3" t="inlineStr">
        <is>
          <t>07:04</t>
        </is>
      </c>
      <c r="D172" s="3" t="inlineStr">
        <is>
          <t>2026-10</t>
        </is>
      </c>
      <c r="E172" s="3" t="n">
        <v>40</v>
      </c>
      <c r="F172" s="3" t="inlineStr">
        <is>
          <t>jueves</t>
        </is>
      </c>
      <c r="G172" s="3" t="n">
        <v>3</v>
      </c>
      <c r="H172" s="3" t="n">
        <v>7</v>
      </c>
      <c r="I172" s="3" t="inlineStr">
        <is>
          <t>07:00-07:59</t>
        </is>
      </c>
      <c r="J172" s="3" t="inlineStr">
        <is>
          <t>VTC</t>
        </is>
      </c>
      <c r="K172" s="28" t="n">
        <v>6</v>
      </c>
      <c r="L172" s="3" t="inlineStr">
        <is>
          <t>app</t>
        </is>
      </c>
      <c r="M172" s="3" t="b">
        <v>0</v>
      </c>
      <c r="N172" s="3" t="b">
        <v>1</v>
      </c>
      <c r="O172" s="3" t="b">
        <v>0</v>
      </c>
      <c r="P172" s="3" t="b">
        <v>1</v>
      </c>
      <c r="Q172" s="3">
        <f>IF(COUNTIF($B$2:B172,B172)=1,1,0)</f>
        <v/>
      </c>
    </row>
    <row r="173">
      <c r="A173" s="3" t="inlineStr">
        <is>
          <t>V172</t>
        </is>
      </c>
      <c r="B173" s="29" t="n">
        <v>46296</v>
      </c>
      <c r="C173" s="3" t="inlineStr">
        <is>
          <t>07:26</t>
        </is>
      </c>
      <c r="D173" s="3" t="inlineStr">
        <is>
          <t>2026-10</t>
        </is>
      </c>
      <c r="E173" s="3" t="n">
        <v>40</v>
      </c>
      <c r="F173" s="3" t="inlineStr">
        <is>
          <t>jueves</t>
        </is>
      </c>
      <c r="G173" s="3" t="n">
        <v>3</v>
      </c>
      <c r="H173" s="3" t="n">
        <v>7</v>
      </c>
      <c r="I173" s="3" t="inlineStr">
        <is>
          <t>07:00-07:59</t>
        </is>
      </c>
      <c r="J173" s="3" t="inlineStr">
        <is>
          <t>VTC</t>
        </is>
      </c>
      <c r="K173" s="28" t="n">
        <v>8.67</v>
      </c>
      <c r="L173" s="3" t="inlineStr">
        <is>
          <t>app</t>
        </is>
      </c>
      <c r="M173" s="3" t="b">
        <v>0</v>
      </c>
      <c r="N173" s="3" t="b">
        <v>0</v>
      </c>
      <c r="O173" s="3" t="b">
        <v>0</v>
      </c>
      <c r="P173" s="3" t="b">
        <v>1</v>
      </c>
      <c r="Q173" s="3">
        <f>IF(COUNTIF($B$2:B173,B173)=1,1,0)</f>
        <v/>
      </c>
    </row>
    <row r="174">
      <c r="A174" s="3" t="inlineStr">
        <is>
          <t>V173</t>
        </is>
      </c>
      <c r="B174" s="29" t="n">
        <v>46296</v>
      </c>
      <c r="C174" s="3" t="inlineStr">
        <is>
          <t>07:33</t>
        </is>
      </c>
      <c r="D174" s="3" t="inlineStr">
        <is>
          <t>2026-10</t>
        </is>
      </c>
      <c r="E174" s="3" t="n">
        <v>40</v>
      </c>
      <c r="F174" s="3" t="inlineStr">
        <is>
          <t>jueves</t>
        </is>
      </c>
      <c r="G174" s="3" t="n">
        <v>3</v>
      </c>
      <c r="H174" s="3" t="n">
        <v>7</v>
      </c>
      <c r="I174" s="3" t="inlineStr">
        <is>
          <t>07:00-07:59</t>
        </is>
      </c>
      <c r="J174" s="3" t="inlineStr">
        <is>
          <t>Electric</t>
        </is>
      </c>
      <c r="K174" s="28" t="n">
        <v>12.87</v>
      </c>
      <c r="L174" s="3" t="inlineStr">
        <is>
          <t>app</t>
        </is>
      </c>
      <c r="M174" s="3" t="b">
        <v>0</v>
      </c>
      <c r="N174" s="3" t="b">
        <v>0</v>
      </c>
      <c r="O174" s="3" t="b">
        <v>0</v>
      </c>
      <c r="P174" s="3" t="b">
        <v>1</v>
      </c>
      <c r="Q174" s="3">
        <f>IF(COUNTIF($B$2:B174,B174)=1,1,0)</f>
        <v/>
      </c>
    </row>
    <row r="175">
      <c r="A175" s="3" t="inlineStr">
        <is>
          <t>V174</t>
        </is>
      </c>
      <c r="B175" s="29" t="n">
        <v>46296</v>
      </c>
      <c r="C175" s="3" t="inlineStr">
        <is>
          <t>08:00</t>
        </is>
      </c>
      <c r="D175" s="3" t="inlineStr">
        <is>
          <t>2026-10</t>
        </is>
      </c>
      <c r="E175" s="3" t="n">
        <v>40</v>
      </c>
      <c r="F175" s="3" t="inlineStr">
        <is>
          <t>jueves</t>
        </is>
      </c>
      <c r="G175" s="3" t="n">
        <v>3</v>
      </c>
      <c r="H175" s="3" t="n">
        <v>8</v>
      </c>
      <c r="I175" s="3" t="inlineStr">
        <is>
          <t>08:00-08:59</t>
        </is>
      </c>
      <c r="J175" s="3" t="inlineStr">
        <is>
          <t>VTC Prioritario</t>
        </is>
      </c>
      <c r="K175" s="28" t="n">
        <v>11.56</v>
      </c>
      <c r="L175" s="3" t="inlineStr">
        <is>
          <t>app</t>
        </is>
      </c>
      <c r="M175" s="3" t="b">
        <v>0</v>
      </c>
      <c r="N175" s="3" t="b">
        <v>0</v>
      </c>
      <c r="O175" s="3" t="b">
        <v>0</v>
      </c>
      <c r="P175" s="3" t="b">
        <v>1</v>
      </c>
      <c r="Q175" s="3">
        <f>IF(COUNTIF($B$2:B175,B175)=1,1,0)</f>
        <v/>
      </c>
    </row>
    <row r="176">
      <c r="A176" s="3" t="inlineStr">
        <is>
          <t>V175</t>
        </is>
      </c>
      <c r="B176" s="29" t="n">
        <v>46296</v>
      </c>
      <c r="C176" s="3" t="inlineStr">
        <is>
          <t>08:33</t>
        </is>
      </c>
      <c r="D176" s="3" t="inlineStr">
        <is>
          <t>2026-10</t>
        </is>
      </c>
      <c r="E176" s="3" t="n">
        <v>40</v>
      </c>
      <c r="F176" s="3" t="inlineStr">
        <is>
          <t>jueves</t>
        </is>
      </c>
      <c r="G176" s="3" t="n">
        <v>3</v>
      </c>
      <c r="H176" s="3" t="n">
        <v>8</v>
      </c>
      <c r="I176" s="3" t="inlineStr">
        <is>
          <t>08:00-08:59</t>
        </is>
      </c>
      <c r="J176" s="3" t="inlineStr">
        <is>
          <t>VTC Prioritario</t>
        </is>
      </c>
      <c r="K176" s="28" t="n">
        <v>0</v>
      </c>
      <c r="L176" s="3" t="inlineStr">
        <is>
          <t>app</t>
        </is>
      </c>
      <c r="M176" s="3" t="b">
        <v>1</v>
      </c>
      <c r="N176" s="3" t="b">
        <v>0</v>
      </c>
      <c r="O176" s="3" t="b">
        <v>0</v>
      </c>
      <c r="P176" s="3" t="b">
        <v>1</v>
      </c>
      <c r="Q176" s="3">
        <f>IF(COUNTIF($B$2:B176,B176)=1,1,0)</f>
        <v/>
      </c>
    </row>
    <row r="177">
      <c r="A177" s="3" t="inlineStr">
        <is>
          <t>V176</t>
        </is>
      </c>
      <c r="B177" s="29" t="n">
        <v>46296</v>
      </c>
      <c r="C177" s="3" t="inlineStr">
        <is>
          <t>08:46</t>
        </is>
      </c>
      <c r="D177" s="3" t="inlineStr">
        <is>
          <t>2026-10</t>
        </is>
      </c>
      <c r="E177" s="3" t="n">
        <v>40</v>
      </c>
      <c r="F177" s="3" t="inlineStr">
        <is>
          <t>jueves</t>
        </is>
      </c>
      <c r="G177" s="3" t="n">
        <v>3</v>
      </c>
      <c r="H177" s="3" t="n">
        <v>8</v>
      </c>
      <c r="I177" s="3" t="inlineStr">
        <is>
          <t>08:00-08:59</t>
        </is>
      </c>
      <c r="J177" s="3" t="inlineStr">
        <is>
          <t>VTC</t>
        </is>
      </c>
      <c r="K177" s="28" t="n">
        <v>0</v>
      </c>
      <c r="L177" s="3" t="inlineStr">
        <is>
          <t>app</t>
        </is>
      </c>
      <c r="M177" s="3" t="b">
        <v>1</v>
      </c>
      <c r="N177" s="3" t="b">
        <v>0</v>
      </c>
      <c r="O177" s="3" t="b">
        <v>0</v>
      </c>
      <c r="P177" s="3" t="b">
        <v>1</v>
      </c>
      <c r="Q177" s="3">
        <f>IF(COUNTIF($B$2:B177,B177)=1,1,0)</f>
        <v/>
      </c>
    </row>
    <row r="178">
      <c r="A178" s="3" t="inlineStr">
        <is>
          <t>V177</t>
        </is>
      </c>
      <c r="B178" s="29" t="n">
        <v>46296</v>
      </c>
      <c r="C178" s="3" t="inlineStr">
        <is>
          <t>09:08</t>
        </is>
      </c>
      <c r="D178" s="3" t="inlineStr">
        <is>
          <t>2026-10</t>
        </is>
      </c>
      <c r="E178" s="3" t="n">
        <v>40</v>
      </c>
      <c r="F178" s="3" t="inlineStr">
        <is>
          <t>jueves</t>
        </is>
      </c>
      <c r="G178" s="3" t="n">
        <v>3</v>
      </c>
      <c r="H178" s="3" t="n">
        <v>9</v>
      </c>
      <c r="I178" s="3" t="inlineStr">
        <is>
          <t>09:00-09:59</t>
        </is>
      </c>
      <c r="J178" s="3" t="inlineStr">
        <is>
          <t>VTC Prioritario</t>
        </is>
      </c>
      <c r="K178" s="28" t="n">
        <v>10.98</v>
      </c>
      <c r="L178" s="3" t="inlineStr">
        <is>
          <t>app</t>
        </is>
      </c>
      <c r="M178" s="3" t="b">
        <v>0</v>
      </c>
      <c r="N178" s="3" t="b">
        <v>0</v>
      </c>
      <c r="O178" s="3" t="b">
        <v>0</v>
      </c>
      <c r="P178" s="3" t="b">
        <v>1</v>
      </c>
      <c r="Q178" s="3">
        <f>IF(COUNTIF($B$2:B178,B178)=1,1,0)</f>
        <v/>
      </c>
    </row>
    <row r="179">
      <c r="A179" s="3" t="inlineStr">
        <is>
          <t>V178</t>
        </is>
      </c>
      <c r="B179" s="29" t="n">
        <v>46296</v>
      </c>
      <c r="C179" s="3" t="inlineStr">
        <is>
          <t>09:43</t>
        </is>
      </c>
      <c r="D179" s="3" t="inlineStr">
        <is>
          <t>2026-10</t>
        </is>
      </c>
      <c r="E179" s="3" t="n">
        <v>40</v>
      </c>
      <c r="F179" s="3" t="inlineStr">
        <is>
          <t>jueves</t>
        </is>
      </c>
      <c r="G179" s="3" t="n">
        <v>3</v>
      </c>
      <c r="H179" s="3" t="n">
        <v>9</v>
      </c>
      <c r="I179" s="3" t="inlineStr">
        <is>
          <t>09:00-09:59</t>
        </is>
      </c>
      <c r="J179" s="3" t="inlineStr">
        <is>
          <t>VTC Airport</t>
        </is>
      </c>
      <c r="K179" s="28" t="n">
        <v>14.54</v>
      </c>
      <c r="L179" s="3" t="inlineStr">
        <is>
          <t>app</t>
        </is>
      </c>
      <c r="M179" s="3" t="b">
        <v>0</v>
      </c>
      <c r="N179" s="3" t="b">
        <v>0</v>
      </c>
      <c r="O179" s="3" t="b">
        <v>1</v>
      </c>
      <c r="P179" s="3" t="b">
        <v>1</v>
      </c>
      <c r="Q179" s="3">
        <f>IF(COUNTIF($B$2:B179,B179)=1,1,0)</f>
        <v/>
      </c>
    </row>
    <row r="180">
      <c r="A180" s="3" t="inlineStr">
        <is>
          <t>V179</t>
        </is>
      </c>
      <c r="B180" s="29" t="n">
        <v>46296</v>
      </c>
      <c r="C180" s="3" t="inlineStr">
        <is>
          <t>10:32</t>
        </is>
      </c>
      <c r="D180" s="3" t="inlineStr">
        <is>
          <t>2026-10</t>
        </is>
      </c>
      <c r="E180" s="3" t="n">
        <v>40</v>
      </c>
      <c r="F180" s="3" t="inlineStr">
        <is>
          <t>jueves</t>
        </is>
      </c>
      <c r="G180" s="3" t="n">
        <v>3</v>
      </c>
      <c r="H180" s="3" t="n">
        <v>10</v>
      </c>
      <c r="I180" s="3" t="inlineStr">
        <is>
          <t>10:00-10:59</t>
        </is>
      </c>
      <c r="J180" s="3" t="inlineStr">
        <is>
          <t>VTC Airport</t>
        </is>
      </c>
      <c r="K180" s="28" t="n">
        <v>10.63</v>
      </c>
      <c r="L180" s="3" t="inlineStr">
        <is>
          <t>efectivo</t>
        </is>
      </c>
      <c r="M180" s="3" t="b">
        <v>0</v>
      </c>
      <c r="N180" s="3" t="b">
        <v>0</v>
      </c>
      <c r="O180" s="3" t="b">
        <v>1</v>
      </c>
      <c r="P180" s="3" t="b">
        <v>1</v>
      </c>
      <c r="Q180" s="3">
        <f>IF(COUNTIF($B$2:B180,B180)=1,1,0)</f>
        <v/>
      </c>
    </row>
    <row r="181">
      <c r="A181" s="3" t="inlineStr">
        <is>
          <t>V180</t>
        </is>
      </c>
      <c r="B181" s="29" t="n">
        <v>46296</v>
      </c>
      <c r="C181" s="3" t="inlineStr">
        <is>
          <t>11:01</t>
        </is>
      </c>
      <c r="D181" s="3" t="inlineStr">
        <is>
          <t>2026-10</t>
        </is>
      </c>
      <c r="E181" s="3" t="n">
        <v>40</v>
      </c>
      <c r="F181" s="3" t="inlineStr">
        <is>
          <t>jueves</t>
        </is>
      </c>
      <c r="G181" s="3" t="n">
        <v>3</v>
      </c>
      <c r="H181" s="3" t="n">
        <v>11</v>
      </c>
      <c r="I181" s="3" t="inlineStr">
        <is>
          <t>11:00-11:59</t>
        </is>
      </c>
      <c r="J181" s="3" t="inlineStr">
        <is>
          <t>VTC</t>
        </is>
      </c>
      <c r="K181" s="28" t="n">
        <v>7.08</v>
      </c>
      <c r="L181" s="3" t="inlineStr">
        <is>
          <t>efectivo</t>
        </is>
      </c>
      <c r="M181" s="3" t="b">
        <v>0</v>
      </c>
      <c r="N181" s="3" t="b">
        <v>0</v>
      </c>
      <c r="O181" s="3" t="b">
        <v>0</v>
      </c>
      <c r="P181" s="3" t="b">
        <v>1</v>
      </c>
      <c r="Q181" s="3">
        <f>IF(COUNTIF($B$2:B181,B181)=1,1,0)</f>
        <v/>
      </c>
    </row>
    <row r="182">
      <c r="A182" s="3" t="inlineStr">
        <is>
          <t>V181</t>
        </is>
      </c>
      <c r="B182" s="29" t="n">
        <v>46297</v>
      </c>
      <c r="C182" s="3" t="inlineStr">
        <is>
          <t>07:31</t>
        </is>
      </c>
      <c r="D182" s="3" t="inlineStr">
        <is>
          <t>2026-10</t>
        </is>
      </c>
      <c r="E182" s="3" t="n">
        <v>40</v>
      </c>
      <c r="F182" s="3" t="inlineStr">
        <is>
          <t>viernes</t>
        </is>
      </c>
      <c r="G182" s="3" t="n">
        <v>4</v>
      </c>
      <c r="H182" s="3" t="n">
        <v>7</v>
      </c>
      <c r="I182" s="3" t="inlineStr">
        <is>
          <t>07:00-07:59</t>
        </is>
      </c>
      <c r="J182" s="3" t="inlineStr">
        <is>
          <t>VTC</t>
        </is>
      </c>
      <c r="K182" s="28" t="n">
        <v>6</v>
      </c>
      <c r="L182" s="3" t="inlineStr">
        <is>
          <t>efectivo</t>
        </is>
      </c>
      <c r="M182" s="3" t="b">
        <v>0</v>
      </c>
      <c r="N182" s="3" t="b">
        <v>1</v>
      </c>
      <c r="O182" s="3" t="b">
        <v>0</v>
      </c>
      <c r="P182" s="3" t="b">
        <v>1</v>
      </c>
      <c r="Q182" s="3">
        <f>IF(COUNTIF($B$2:B182,B182)=1,1,0)</f>
        <v/>
      </c>
    </row>
    <row r="183">
      <c r="A183" s="3" t="inlineStr">
        <is>
          <t>V182</t>
        </is>
      </c>
      <c r="B183" s="29" t="n">
        <v>46297</v>
      </c>
      <c r="C183" s="3" t="inlineStr">
        <is>
          <t>07:50</t>
        </is>
      </c>
      <c r="D183" s="3" t="inlineStr">
        <is>
          <t>2026-10</t>
        </is>
      </c>
      <c r="E183" s="3" t="n">
        <v>40</v>
      </c>
      <c r="F183" s="3" t="inlineStr">
        <is>
          <t>viernes</t>
        </is>
      </c>
      <c r="G183" s="3" t="n">
        <v>4</v>
      </c>
      <c r="H183" s="3" t="n">
        <v>7</v>
      </c>
      <c r="I183" s="3" t="inlineStr">
        <is>
          <t>07:00-07:59</t>
        </is>
      </c>
      <c r="J183" s="3" t="inlineStr">
        <is>
          <t>VTC Airport</t>
        </is>
      </c>
      <c r="K183" s="28" t="n">
        <v>20.82</v>
      </c>
      <c r="L183" s="3" t="inlineStr">
        <is>
          <t>app</t>
        </is>
      </c>
      <c r="M183" s="3" t="b">
        <v>0</v>
      </c>
      <c r="N183" s="3" t="b">
        <v>0</v>
      </c>
      <c r="O183" s="3" t="b">
        <v>1</v>
      </c>
      <c r="P183" s="3" t="b">
        <v>1</v>
      </c>
      <c r="Q183" s="3">
        <f>IF(COUNTIF($B$2:B183,B183)=1,1,0)</f>
        <v/>
      </c>
    </row>
    <row r="184">
      <c r="A184" s="3" t="inlineStr">
        <is>
          <t>V183</t>
        </is>
      </c>
      <c r="B184" s="29" t="n">
        <v>46297</v>
      </c>
      <c r="C184" s="3" t="inlineStr">
        <is>
          <t>08:44</t>
        </is>
      </c>
      <c r="D184" s="3" t="inlineStr">
        <is>
          <t>2026-10</t>
        </is>
      </c>
      <c r="E184" s="3" t="n">
        <v>40</v>
      </c>
      <c r="F184" s="3" t="inlineStr">
        <is>
          <t>viernes</t>
        </is>
      </c>
      <c r="G184" s="3" t="n">
        <v>4</v>
      </c>
      <c r="H184" s="3" t="n">
        <v>8</v>
      </c>
      <c r="I184" s="3" t="inlineStr">
        <is>
          <t>08:00-08:59</t>
        </is>
      </c>
      <c r="J184" s="3" t="inlineStr">
        <is>
          <t>VTC</t>
        </is>
      </c>
      <c r="K184" s="28" t="n">
        <v>17.85</v>
      </c>
      <c r="L184" s="3" t="inlineStr">
        <is>
          <t>app</t>
        </is>
      </c>
      <c r="M184" s="3" t="b">
        <v>0</v>
      </c>
      <c r="N184" s="3" t="b">
        <v>0</v>
      </c>
      <c r="O184" s="3" t="b">
        <v>0</v>
      </c>
      <c r="P184" s="3" t="b">
        <v>1</v>
      </c>
      <c r="Q184" s="3">
        <f>IF(COUNTIF($B$2:B184,B184)=1,1,0)</f>
        <v/>
      </c>
    </row>
    <row r="185">
      <c r="A185" s="3" t="inlineStr">
        <is>
          <t>V184</t>
        </is>
      </c>
      <c r="B185" s="29" t="n">
        <v>46297</v>
      </c>
      <c r="C185" s="3" t="inlineStr">
        <is>
          <t>09:30</t>
        </is>
      </c>
      <c r="D185" s="3" t="inlineStr">
        <is>
          <t>2026-10</t>
        </is>
      </c>
      <c r="E185" s="3" t="n">
        <v>40</v>
      </c>
      <c r="F185" s="3" t="inlineStr">
        <is>
          <t>viernes</t>
        </is>
      </c>
      <c r="G185" s="3" t="n">
        <v>4</v>
      </c>
      <c r="H185" s="3" t="n">
        <v>9</v>
      </c>
      <c r="I185" s="3" t="inlineStr">
        <is>
          <t>09:00-09:59</t>
        </is>
      </c>
      <c r="J185" s="3" t="inlineStr">
        <is>
          <t>VTC</t>
        </is>
      </c>
      <c r="K185" s="28" t="n">
        <v>0</v>
      </c>
      <c r="L185" s="3" t="inlineStr">
        <is>
          <t>app</t>
        </is>
      </c>
      <c r="M185" s="3" t="b">
        <v>1</v>
      </c>
      <c r="N185" s="3" t="b">
        <v>0</v>
      </c>
      <c r="O185" s="3" t="b">
        <v>0</v>
      </c>
      <c r="P185" s="3" t="b">
        <v>1</v>
      </c>
      <c r="Q185" s="3">
        <f>IF(COUNTIF($B$2:B185,B185)=1,1,0)</f>
        <v/>
      </c>
    </row>
    <row r="186">
      <c r="A186" s="3" t="inlineStr">
        <is>
          <t>V185</t>
        </is>
      </c>
      <c r="B186" s="29" t="n">
        <v>46297</v>
      </c>
      <c r="C186" s="3" t="inlineStr">
        <is>
          <t>09:41</t>
        </is>
      </c>
      <c r="D186" s="3" t="inlineStr">
        <is>
          <t>2026-10</t>
        </is>
      </c>
      <c r="E186" s="3" t="n">
        <v>40</v>
      </c>
      <c r="F186" s="3" t="inlineStr">
        <is>
          <t>viernes</t>
        </is>
      </c>
      <c r="G186" s="3" t="n">
        <v>4</v>
      </c>
      <c r="H186" s="3" t="n">
        <v>9</v>
      </c>
      <c r="I186" s="3" t="inlineStr">
        <is>
          <t>09:00-09:59</t>
        </is>
      </c>
      <c r="J186" s="3" t="inlineStr">
        <is>
          <t>VTC</t>
        </is>
      </c>
      <c r="K186" s="28" t="n">
        <v>0</v>
      </c>
      <c r="L186" s="3" t="inlineStr">
        <is>
          <t>app</t>
        </is>
      </c>
      <c r="M186" s="3" t="b">
        <v>1</v>
      </c>
      <c r="N186" s="3" t="b">
        <v>0</v>
      </c>
      <c r="O186" s="3" t="b">
        <v>0</v>
      </c>
      <c r="P186" s="3" t="b">
        <v>1</v>
      </c>
      <c r="Q186" s="3">
        <f>IF(COUNTIF($B$2:B186,B186)=1,1,0)</f>
        <v/>
      </c>
    </row>
    <row r="187">
      <c r="A187" s="3" t="inlineStr">
        <is>
          <t>V186</t>
        </is>
      </c>
      <c r="B187" s="29" t="n">
        <v>46297</v>
      </c>
      <c r="C187" s="3" t="inlineStr">
        <is>
          <t>09:45</t>
        </is>
      </c>
      <c r="D187" s="3" t="inlineStr">
        <is>
          <t>2026-10</t>
        </is>
      </c>
      <c r="E187" s="3" t="n">
        <v>40</v>
      </c>
      <c r="F187" s="3" t="inlineStr">
        <is>
          <t>viernes</t>
        </is>
      </c>
      <c r="G187" s="3" t="n">
        <v>4</v>
      </c>
      <c r="H187" s="3" t="n">
        <v>9</v>
      </c>
      <c r="I187" s="3" t="inlineStr">
        <is>
          <t>09:00-09:59</t>
        </is>
      </c>
      <c r="J187" s="3" t="inlineStr">
        <is>
          <t>VTC Airport</t>
        </is>
      </c>
      <c r="K187" s="28" t="n">
        <v>17.72</v>
      </c>
      <c r="L187" s="3" t="inlineStr">
        <is>
          <t>app</t>
        </is>
      </c>
      <c r="M187" s="3" t="b">
        <v>0</v>
      </c>
      <c r="N187" s="3" t="b">
        <v>0</v>
      </c>
      <c r="O187" s="3" t="b">
        <v>1</v>
      </c>
      <c r="P187" s="3" t="b">
        <v>1</v>
      </c>
      <c r="Q187" s="3">
        <f>IF(COUNTIF($B$2:B187,B187)=1,1,0)</f>
        <v/>
      </c>
    </row>
    <row r="188">
      <c r="A188" s="3" t="inlineStr">
        <is>
          <t>V187</t>
        </is>
      </c>
      <c r="B188" s="29" t="n">
        <v>46297</v>
      </c>
      <c r="C188" s="3" t="inlineStr">
        <is>
          <t>11:33</t>
        </is>
      </c>
      <c r="D188" s="3" t="inlineStr">
        <is>
          <t>2026-10</t>
        </is>
      </c>
      <c r="E188" s="3" t="n">
        <v>40</v>
      </c>
      <c r="F188" s="3" t="inlineStr">
        <is>
          <t>viernes</t>
        </is>
      </c>
      <c r="G188" s="3" t="n">
        <v>4</v>
      </c>
      <c r="H188" s="3" t="n">
        <v>11</v>
      </c>
      <c r="I188" s="3" t="inlineStr">
        <is>
          <t>11:00-11:59</t>
        </is>
      </c>
      <c r="J188" s="3" t="inlineStr">
        <is>
          <t>VTC</t>
        </is>
      </c>
      <c r="K188" s="28" t="n">
        <v>13.78</v>
      </c>
      <c r="L188" s="3" t="inlineStr">
        <is>
          <t>app</t>
        </is>
      </c>
      <c r="M188" s="3" t="b">
        <v>0</v>
      </c>
      <c r="N188" s="3" t="b">
        <v>0</v>
      </c>
      <c r="O188" s="3" t="b">
        <v>0</v>
      </c>
      <c r="P188" s="3" t="b">
        <v>1</v>
      </c>
      <c r="Q188" s="3">
        <f>IF(COUNTIF($B$2:B188,B188)=1,1,0)</f>
        <v/>
      </c>
    </row>
    <row r="189">
      <c r="A189" s="3" t="inlineStr">
        <is>
          <t>V188</t>
        </is>
      </c>
      <c r="B189" s="29" t="n">
        <v>46300</v>
      </c>
      <c r="C189" s="3" t="inlineStr">
        <is>
          <t>06:20</t>
        </is>
      </c>
      <c r="D189" s="3" t="inlineStr">
        <is>
          <t>2026-10</t>
        </is>
      </c>
      <c r="E189" s="3" t="n">
        <v>41</v>
      </c>
      <c r="F189" s="3" t="inlineStr">
        <is>
          <t>lunes</t>
        </is>
      </c>
      <c r="G189" s="3" t="n">
        <v>0</v>
      </c>
      <c r="H189" s="3" t="n">
        <v>6</v>
      </c>
      <c r="I189" s="3" t="inlineStr">
        <is>
          <t>06:00-06:59</t>
        </is>
      </c>
      <c r="J189" s="3" t="inlineStr">
        <is>
          <t>VTC</t>
        </is>
      </c>
      <c r="K189" s="28" t="n">
        <v>15.15</v>
      </c>
      <c r="L189" s="3" t="inlineStr">
        <is>
          <t>efectivo</t>
        </is>
      </c>
      <c r="M189" s="3" t="b">
        <v>0</v>
      </c>
      <c r="N189" s="3" t="b">
        <v>0</v>
      </c>
      <c r="O189" s="3" t="b">
        <v>0</v>
      </c>
      <c r="P189" s="3" t="b">
        <v>1</v>
      </c>
      <c r="Q189" s="3">
        <f>IF(COUNTIF($B$2:B189,B189)=1,1,0)</f>
        <v/>
      </c>
    </row>
    <row r="190">
      <c r="A190" s="3" t="inlineStr">
        <is>
          <t>V189</t>
        </is>
      </c>
      <c r="B190" s="29" t="n">
        <v>46300</v>
      </c>
      <c r="C190" s="3" t="inlineStr">
        <is>
          <t>06:42</t>
        </is>
      </c>
      <c r="D190" s="3" t="inlineStr">
        <is>
          <t>2026-10</t>
        </is>
      </c>
      <c r="E190" s="3" t="n">
        <v>41</v>
      </c>
      <c r="F190" s="3" t="inlineStr">
        <is>
          <t>lunes</t>
        </is>
      </c>
      <c r="G190" s="3" t="n">
        <v>0</v>
      </c>
      <c r="H190" s="3" t="n">
        <v>6</v>
      </c>
      <c r="I190" s="3" t="inlineStr">
        <is>
          <t>06:00-06:59</t>
        </is>
      </c>
      <c r="J190" s="3" t="inlineStr">
        <is>
          <t>VTC Airport</t>
        </is>
      </c>
      <c r="K190" s="28" t="n">
        <v>18.93</v>
      </c>
      <c r="L190" s="3" t="inlineStr">
        <is>
          <t>efectivo</t>
        </is>
      </c>
      <c r="M190" s="3" t="b">
        <v>0</v>
      </c>
      <c r="N190" s="3" t="b">
        <v>0</v>
      </c>
      <c r="O190" s="3" t="b">
        <v>1</v>
      </c>
      <c r="P190" s="3" t="b">
        <v>1</v>
      </c>
      <c r="Q190" s="3">
        <f>IF(COUNTIF($B$2:B190,B190)=1,1,0)</f>
        <v/>
      </c>
    </row>
    <row r="191">
      <c r="A191" s="3" t="inlineStr">
        <is>
          <t>V190</t>
        </is>
      </c>
      <c r="B191" s="29" t="n">
        <v>46300</v>
      </c>
      <c r="C191" s="3" t="inlineStr">
        <is>
          <t>07:25</t>
        </is>
      </c>
      <c r="D191" s="3" t="inlineStr">
        <is>
          <t>2026-10</t>
        </is>
      </c>
      <c r="E191" s="3" t="n">
        <v>41</v>
      </c>
      <c r="F191" s="3" t="inlineStr">
        <is>
          <t>lunes</t>
        </is>
      </c>
      <c r="G191" s="3" t="n">
        <v>0</v>
      </c>
      <c r="H191" s="3" t="n">
        <v>7</v>
      </c>
      <c r="I191" s="3" t="inlineStr">
        <is>
          <t>07:00-07:59</t>
        </is>
      </c>
      <c r="J191" s="3" t="inlineStr">
        <is>
          <t>VTC Airport</t>
        </is>
      </c>
      <c r="K191" s="28" t="n">
        <v>22.05</v>
      </c>
      <c r="L191" s="3" t="inlineStr">
        <is>
          <t>app</t>
        </is>
      </c>
      <c r="M191" s="3" t="b">
        <v>0</v>
      </c>
      <c r="N191" s="3" t="b">
        <v>0</v>
      </c>
      <c r="O191" s="3" t="b">
        <v>1</v>
      </c>
      <c r="P191" s="3" t="b">
        <v>1</v>
      </c>
      <c r="Q191" s="3">
        <f>IF(COUNTIF($B$2:B191,B191)=1,1,0)</f>
        <v/>
      </c>
    </row>
    <row r="192">
      <c r="A192" s="3" t="inlineStr">
        <is>
          <t>V191</t>
        </is>
      </c>
      <c r="B192" s="29" t="n">
        <v>46300</v>
      </c>
      <c r="C192" s="3" t="inlineStr">
        <is>
          <t>08:24</t>
        </is>
      </c>
      <c r="D192" s="3" t="inlineStr">
        <is>
          <t>2026-10</t>
        </is>
      </c>
      <c r="E192" s="3" t="n">
        <v>41</v>
      </c>
      <c r="F192" s="3" t="inlineStr">
        <is>
          <t>lunes</t>
        </is>
      </c>
      <c r="G192" s="3" t="n">
        <v>0</v>
      </c>
      <c r="H192" s="3" t="n">
        <v>8</v>
      </c>
      <c r="I192" s="3" t="inlineStr">
        <is>
          <t>08:00-08:59</t>
        </is>
      </c>
      <c r="J192" s="3" t="inlineStr">
        <is>
          <t>VTC</t>
        </is>
      </c>
      <c r="K192" s="28" t="n">
        <v>15.78</v>
      </c>
      <c r="L192" s="3" t="inlineStr">
        <is>
          <t>app</t>
        </is>
      </c>
      <c r="M192" s="3" t="b">
        <v>0</v>
      </c>
      <c r="N192" s="3" t="b">
        <v>0</v>
      </c>
      <c r="O192" s="3" t="b">
        <v>0</v>
      </c>
      <c r="P192" s="3" t="b">
        <v>1</v>
      </c>
      <c r="Q192" s="3">
        <f>IF(COUNTIF($B$2:B192,B192)=1,1,0)</f>
        <v/>
      </c>
    </row>
    <row r="193">
      <c r="A193" s="3" t="inlineStr">
        <is>
          <t>V192</t>
        </is>
      </c>
      <c r="B193" s="29" t="n">
        <v>46300</v>
      </c>
      <c r="C193" s="3" t="inlineStr">
        <is>
          <t>09:27</t>
        </is>
      </c>
      <c r="D193" s="3" t="inlineStr">
        <is>
          <t>2026-10</t>
        </is>
      </c>
      <c r="E193" s="3" t="n">
        <v>41</v>
      </c>
      <c r="F193" s="3" t="inlineStr">
        <is>
          <t>lunes</t>
        </is>
      </c>
      <c r="G193" s="3" t="n">
        <v>0</v>
      </c>
      <c r="H193" s="3" t="n">
        <v>9</v>
      </c>
      <c r="I193" s="3" t="inlineStr">
        <is>
          <t>09:00-09:59</t>
        </is>
      </c>
      <c r="J193" s="3" t="inlineStr">
        <is>
          <t>VTC Eco</t>
        </is>
      </c>
      <c r="K193" s="28" t="n">
        <v>14.7</v>
      </c>
      <c r="L193" s="3" t="inlineStr">
        <is>
          <t>app</t>
        </is>
      </c>
      <c r="M193" s="3" t="b">
        <v>0</v>
      </c>
      <c r="N193" s="3" t="b">
        <v>0</v>
      </c>
      <c r="O193" s="3" t="b">
        <v>0</v>
      </c>
      <c r="P193" s="3" t="b">
        <v>1</v>
      </c>
      <c r="Q193" s="3">
        <f>IF(COUNTIF($B$2:B193,B193)=1,1,0)</f>
        <v/>
      </c>
    </row>
    <row r="194">
      <c r="A194" s="3" t="inlineStr">
        <is>
          <t>V193</t>
        </is>
      </c>
      <c r="B194" s="29" t="n">
        <v>46300</v>
      </c>
      <c r="C194" s="3" t="inlineStr">
        <is>
          <t>10:12</t>
        </is>
      </c>
      <c r="D194" s="3" t="inlineStr">
        <is>
          <t>2026-10</t>
        </is>
      </c>
      <c r="E194" s="3" t="n">
        <v>41</v>
      </c>
      <c r="F194" s="3" t="inlineStr">
        <is>
          <t>lunes</t>
        </is>
      </c>
      <c r="G194" s="3" t="n">
        <v>0</v>
      </c>
      <c r="H194" s="3" t="n">
        <v>10</v>
      </c>
      <c r="I194" s="3" t="inlineStr">
        <is>
          <t>10:00-10:59</t>
        </is>
      </c>
      <c r="J194" s="3" t="inlineStr">
        <is>
          <t>VTC</t>
        </is>
      </c>
      <c r="K194" s="28" t="n">
        <v>0</v>
      </c>
      <c r="L194" s="3" t="inlineStr">
        <is>
          <t>app</t>
        </is>
      </c>
      <c r="M194" s="3" t="b">
        <v>1</v>
      </c>
      <c r="N194" s="3" t="b">
        <v>0</v>
      </c>
      <c r="O194" s="3" t="b">
        <v>0</v>
      </c>
      <c r="P194" s="3" t="b">
        <v>1</v>
      </c>
      <c r="Q194" s="3">
        <f>IF(COUNTIF($B$2:B194,B194)=1,1,0)</f>
        <v/>
      </c>
    </row>
    <row r="195">
      <c r="A195" s="3" t="inlineStr">
        <is>
          <t>V194</t>
        </is>
      </c>
      <c r="B195" s="29" t="n">
        <v>46300</v>
      </c>
      <c r="C195" s="3" t="inlineStr">
        <is>
          <t>10:29</t>
        </is>
      </c>
      <c r="D195" s="3" t="inlineStr">
        <is>
          <t>2026-10</t>
        </is>
      </c>
      <c r="E195" s="3" t="n">
        <v>41</v>
      </c>
      <c r="F195" s="3" t="inlineStr">
        <is>
          <t>lunes</t>
        </is>
      </c>
      <c r="G195" s="3" t="n">
        <v>0</v>
      </c>
      <c r="H195" s="3" t="n">
        <v>10</v>
      </c>
      <c r="I195" s="3" t="inlineStr">
        <is>
          <t>10:00-10:59</t>
        </is>
      </c>
      <c r="J195" s="3" t="inlineStr">
        <is>
          <t>VTC Airport</t>
        </is>
      </c>
      <c r="K195" s="28" t="n">
        <v>15.39</v>
      </c>
      <c r="L195" s="3" t="inlineStr">
        <is>
          <t>app</t>
        </is>
      </c>
      <c r="M195" s="3" t="b">
        <v>0</v>
      </c>
      <c r="N195" s="3" t="b">
        <v>0</v>
      </c>
      <c r="O195" s="3" t="b">
        <v>1</v>
      </c>
      <c r="P195" s="3" t="b">
        <v>1</v>
      </c>
      <c r="Q195" s="3">
        <f>IF(COUNTIF($B$2:B195,B195)=1,1,0)</f>
        <v/>
      </c>
    </row>
    <row r="196">
      <c r="A196" s="3" t="inlineStr">
        <is>
          <t>V195</t>
        </is>
      </c>
      <c r="B196" s="29" t="n">
        <v>46300</v>
      </c>
      <c r="C196" s="3" t="inlineStr">
        <is>
          <t>11:05</t>
        </is>
      </c>
      <c r="D196" s="3" t="inlineStr">
        <is>
          <t>2026-10</t>
        </is>
      </c>
      <c r="E196" s="3" t="n">
        <v>41</v>
      </c>
      <c r="F196" s="3" t="inlineStr">
        <is>
          <t>lunes</t>
        </is>
      </c>
      <c r="G196" s="3" t="n">
        <v>0</v>
      </c>
      <c r="H196" s="3" t="n">
        <v>11</v>
      </c>
      <c r="I196" s="3" t="inlineStr">
        <is>
          <t>11:00-11:59</t>
        </is>
      </c>
      <c r="J196" s="3" t="inlineStr">
        <is>
          <t>VTC</t>
        </is>
      </c>
      <c r="K196" s="28" t="n">
        <v>11.84</v>
      </c>
      <c r="L196" s="3" t="inlineStr">
        <is>
          <t>app</t>
        </is>
      </c>
      <c r="M196" s="3" t="b">
        <v>0</v>
      </c>
      <c r="N196" s="3" t="b">
        <v>0</v>
      </c>
      <c r="O196" s="3" t="b">
        <v>0</v>
      </c>
      <c r="P196" s="3" t="b">
        <v>1</v>
      </c>
      <c r="Q196" s="3">
        <f>IF(COUNTIF($B$2:B196,B196)=1,1,0)</f>
        <v/>
      </c>
    </row>
    <row r="197">
      <c r="A197" s="3" t="inlineStr">
        <is>
          <t>V196</t>
        </is>
      </c>
      <c r="B197" s="29" t="n">
        <v>46300</v>
      </c>
      <c r="C197" s="3" t="inlineStr">
        <is>
          <t>12:33</t>
        </is>
      </c>
      <c r="D197" s="3" t="inlineStr">
        <is>
          <t>2026-10</t>
        </is>
      </c>
      <c r="E197" s="3" t="n">
        <v>41</v>
      </c>
      <c r="F197" s="3" t="inlineStr">
        <is>
          <t>lunes</t>
        </is>
      </c>
      <c r="G197" s="3" t="n">
        <v>0</v>
      </c>
      <c r="H197" s="3" t="n">
        <v>12</v>
      </c>
      <c r="I197" s="3" t="inlineStr">
        <is>
          <t>12:00-12:59</t>
        </is>
      </c>
      <c r="J197" s="3" t="inlineStr">
        <is>
          <t>VTC</t>
        </is>
      </c>
      <c r="K197" s="28" t="n">
        <v>0</v>
      </c>
      <c r="L197" s="3" t="inlineStr">
        <is>
          <t>efectivo</t>
        </is>
      </c>
      <c r="M197" s="3" t="b">
        <v>1</v>
      </c>
      <c r="N197" s="3" t="b">
        <v>0</v>
      </c>
      <c r="O197" s="3" t="b">
        <v>0</v>
      </c>
      <c r="P197" s="3" t="b">
        <v>1</v>
      </c>
      <c r="Q197" s="3">
        <f>IF(COUNTIF($B$2:B197,B197)=1,1,0)</f>
        <v/>
      </c>
    </row>
    <row r="198">
      <c r="A198" s="3" t="inlineStr">
        <is>
          <t>V197</t>
        </is>
      </c>
      <c r="B198" s="29" t="n">
        <v>46300</v>
      </c>
      <c r="C198" s="3" t="inlineStr">
        <is>
          <t>12:43</t>
        </is>
      </c>
      <c r="D198" s="3" t="inlineStr">
        <is>
          <t>2026-10</t>
        </is>
      </c>
      <c r="E198" s="3" t="n">
        <v>41</v>
      </c>
      <c r="F198" s="3" t="inlineStr">
        <is>
          <t>lunes</t>
        </is>
      </c>
      <c r="G198" s="3" t="n">
        <v>0</v>
      </c>
      <c r="H198" s="3" t="n">
        <v>12</v>
      </c>
      <c r="I198" s="3" t="inlineStr">
        <is>
          <t>12:00-12:59</t>
        </is>
      </c>
      <c r="J198" s="3" t="inlineStr">
        <is>
          <t>VTC</t>
        </is>
      </c>
      <c r="K198" s="28" t="n">
        <v>0</v>
      </c>
      <c r="L198" s="3" t="inlineStr">
        <is>
          <t>app</t>
        </is>
      </c>
      <c r="M198" s="3" t="b">
        <v>1</v>
      </c>
      <c r="N198" s="3" t="b">
        <v>0</v>
      </c>
      <c r="O198" s="3" t="b">
        <v>0</v>
      </c>
      <c r="P198" s="3" t="b">
        <v>1</v>
      </c>
      <c r="Q198" s="3">
        <f>IF(COUNTIF($B$2:B198,B198)=1,1,0)</f>
        <v/>
      </c>
    </row>
    <row r="199">
      <c r="A199" s="3" t="inlineStr">
        <is>
          <t>V198</t>
        </is>
      </c>
      <c r="B199" s="29" t="n">
        <v>46301</v>
      </c>
      <c r="C199" s="3" t="inlineStr">
        <is>
          <t>06:27</t>
        </is>
      </c>
      <c r="D199" s="3" t="inlineStr">
        <is>
          <t>2026-10</t>
        </is>
      </c>
      <c r="E199" s="3" t="n">
        <v>41</v>
      </c>
      <c r="F199" s="3" t="inlineStr">
        <is>
          <t>martes</t>
        </is>
      </c>
      <c r="G199" s="3" t="n">
        <v>1</v>
      </c>
      <c r="H199" s="3" t="n">
        <v>6</v>
      </c>
      <c r="I199" s="3" t="inlineStr">
        <is>
          <t>06:00-06:59</t>
        </is>
      </c>
      <c r="J199" s="3" t="inlineStr">
        <is>
          <t>VTC Prioritario</t>
        </is>
      </c>
      <c r="K199" s="28" t="n">
        <v>6.21</v>
      </c>
      <c r="L199" s="3" t="inlineStr">
        <is>
          <t>app</t>
        </is>
      </c>
      <c r="M199" s="3" t="b">
        <v>0</v>
      </c>
      <c r="N199" s="3" t="b">
        <v>0</v>
      </c>
      <c r="O199" s="3" t="b">
        <v>0</v>
      </c>
      <c r="P199" s="3" t="b">
        <v>1</v>
      </c>
      <c r="Q199" s="3">
        <f>IF(COUNTIF($B$2:B199,B199)=1,1,0)</f>
        <v/>
      </c>
    </row>
    <row r="200">
      <c r="A200" s="3" t="inlineStr">
        <is>
          <t>V199</t>
        </is>
      </c>
      <c r="B200" s="29" t="n">
        <v>46301</v>
      </c>
      <c r="C200" s="3" t="inlineStr">
        <is>
          <t>06:46</t>
        </is>
      </c>
      <c r="D200" s="3" t="inlineStr">
        <is>
          <t>2026-10</t>
        </is>
      </c>
      <c r="E200" s="3" t="n">
        <v>41</v>
      </c>
      <c r="F200" s="3" t="inlineStr">
        <is>
          <t>martes</t>
        </is>
      </c>
      <c r="G200" s="3" t="n">
        <v>1</v>
      </c>
      <c r="H200" s="3" t="n">
        <v>6</v>
      </c>
      <c r="I200" s="3" t="inlineStr">
        <is>
          <t>06:00-06:59</t>
        </is>
      </c>
      <c r="J200" s="3" t="inlineStr">
        <is>
          <t>VTC</t>
        </is>
      </c>
      <c r="K200" s="28" t="n">
        <v>8.16</v>
      </c>
      <c r="L200" s="3" t="inlineStr">
        <is>
          <t>app</t>
        </is>
      </c>
      <c r="M200" s="3" t="b">
        <v>0</v>
      </c>
      <c r="N200" s="3" t="b">
        <v>0</v>
      </c>
      <c r="O200" s="3" t="b">
        <v>0</v>
      </c>
      <c r="P200" s="3" t="b">
        <v>1</v>
      </c>
      <c r="Q200" s="3">
        <f>IF(COUNTIF($B$2:B200,B200)=1,1,0)</f>
        <v/>
      </c>
    </row>
    <row r="201">
      <c r="A201" s="3" t="inlineStr">
        <is>
          <t>V200</t>
        </is>
      </c>
      <c r="B201" s="29" t="n">
        <v>46301</v>
      </c>
      <c r="C201" s="3" t="inlineStr">
        <is>
          <t>07:06</t>
        </is>
      </c>
      <c r="D201" s="3" t="inlineStr">
        <is>
          <t>2026-10</t>
        </is>
      </c>
      <c r="E201" s="3" t="n">
        <v>41</v>
      </c>
      <c r="F201" s="3" t="inlineStr">
        <is>
          <t>martes</t>
        </is>
      </c>
      <c r="G201" s="3" t="n">
        <v>1</v>
      </c>
      <c r="H201" s="3" t="n">
        <v>7</v>
      </c>
      <c r="I201" s="3" t="inlineStr">
        <is>
          <t>07:00-07:59</t>
        </is>
      </c>
      <c r="J201" s="3" t="inlineStr">
        <is>
          <t>VTC</t>
        </is>
      </c>
      <c r="K201" s="28" t="n">
        <v>10.05</v>
      </c>
      <c r="L201" s="3" t="inlineStr">
        <is>
          <t>app</t>
        </is>
      </c>
      <c r="M201" s="3" t="b">
        <v>0</v>
      </c>
      <c r="N201" s="3" t="b">
        <v>0</v>
      </c>
      <c r="O201" s="3" t="b">
        <v>0</v>
      </c>
      <c r="P201" s="3" t="b">
        <v>1</v>
      </c>
      <c r="Q201" s="3">
        <f>IF(COUNTIF($B$2:B201,B201)=1,1,0)</f>
        <v/>
      </c>
    </row>
    <row r="202">
      <c r="A202" s="3" t="inlineStr">
        <is>
          <t>V201</t>
        </is>
      </c>
      <c r="B202" s="29" t="n">
        <v>46301</v>
      </c>
      <c r="C202" s="3" t="inlineStr">
        <is>
          <t>07:48</t>
        </is>
      </c>
      <c r="D202" s="3" t="inlineStr">
        <is>
          <t>2026-10</t>
        </is>
      </c>
      <c r="E202" s="3" t="n">
        <v>41</v>
      </c>
      <c r="F202" s="3" t="inlineStr">
        <is>
          <t>martes</t>
        </is>
      </c>
      <c r="G202" s="3" t="n">
        <v>1</v>
      </c>
      <c r="H202" s="3" t="n">
        <v>7</v>
      </c>
      <c r="I202" s="3" t="inlineStr">
        <is>
          <t>07:00-07:59</t>
        </is>
      </c>
      <c r="J202" s="3" t="inlineStr">
        <is>
          <t>VTC Airport</t>
        </is>
      </c>
      <c r="K202" s="28" t="n">
        <v>0</v>
      </c>
      <c r="L202" s="3" t="inlineStr">
        <is>
          <t>app</t>
        </is>
      </c>
      <c r="M202" s="3" t="b">
        <v>1</v>
      </c>
      <c r="N202" s="3" t="b">
        <v>0</v>
      </c>
      <c r="O202" s="3" t="b">
        <v>1</v>
      </c>
      <c r="P202" s="3" t="b">
        <v>1</v>
      </c>
      <c r="Q202" s="3">
        <f>IF(COUNTIF($B$2:B202,B202)=1,1,0)</f>
        <v/>
      </c>
    </row>
    <row r="203">
      <c r="A203" s="3" t="inlineStr">
        <is>
          <t>V202</t>
        </is>
      </c>
      <c r="B203" s="29" t="n">
        <v>46301</v>
      </c>
      <c r="C203" s="3" t="inlineStr">
        <is>
          <t>07:53</t>
        </is>
      </c>
      <c r="D203" s="3" t="inlineStr">
        <is>
          <t>2026-10</t>
        </is>
      </c>
      <c r="E203" s="3" t="n">
        <v>41</v>
      </c>
      <c r="F203" s="3" t="inlineStr">
        <is>
          <t>martes</t>
        </is>
      </c>
      <c r="G203" s="3" t="n">
        <v>1</v>
      </c>
      <c r="H203" s="3" t="n">
        <v>7</v>
      </c>
      <c r="I203" s="3" t="inlineStr">
        <is>
          <t>07:00-07:59</t>
        </is>
      </c>
      <c r="J203" s="3" t="inlineStr">
        <is>
          <t>VTC</t>
        </is>
      </c>
      <c r="K203" s="28" t="n">
        <v>8.73</v>
      </c>
      <c r="L203" s="3" t="inlineStr">
        <is>
          <t>app</t>
        </is>
      </c>
      <c r="M203" s="3" t="b">
        <v>0</v>
      </c>
      <c r="N203" s="3" t="b">
        <v>0</v>
      </c>
      <c r="O203" s="3" t="b">
        <v>0</v>
      </c>
      <c r="P203" s="3" t="b">
        <v>1</v>
      </c>
      <c r="Q203" s="3">
        <f>IF(COUNTIF($B$2:B203,B203)=1,1,0)</f>
        <v/>
      </c>
    </row>
    <row r="204">
      <c r="A204" s="3" t="inlineStr">
        <is>
          <t>V203</t>
        </is>
      </c>
      <c r="B204" s="29" t="n">
        <v>46301</v>
      </c>
      <c r="C204" s="3" t="inlineStr">
        <is>
          <t>08:25</t>
        </is>
      </c>
      <c r="D204" s="3" t="inlineStr">
        <is>
          <t>2026-10</t>
        </is>
      </c>
      <c r="E204" s="3" t="n">
        <v>41</v>
      </c>
      <c r="F204" s="3" t="inlineStr">
        <is>
          <t>martes</t>
        </is>
      </c>
      <c r="G204" s="3" t="n">
        <v>1</v>
      </c>
      <c r="H204" s="3" t="n">
        <v>8</v>
      </c>
      <c r="I204" s="3" t="inlineStr">
        <is>
          <t>08:00-08:59</t>
        </is>
      </c>
      <c r="J204" s="3" t="inlineStr">
        <is>
          <t>VTC Airport</t>
        </is>
      </c>
      <c r="K204" s="28" t="n">
        <v>18.62</v>
      </c>
      <c r="L204" s="3" t="inlineStr">
        <is>
          <t>app</t>
        </is>
      </c>
      <c r="M204" s="3" t="b">
        <v>0</v>
      </c>
      <c r="N204" s="3" t="b">
        <v>0</v>
      </c>
      <c r="O204" s="3" t="b">
        <v>1</v>
      </c>
      <c r="P204" s="3" t="b">
        <v>1</v>
      </c>
      <c r="Q204" s="3">
        <f>IF(COUNTIF($B$2:B204,B204)=1,1,0)</f>
        <v/>
      </c>
    </row>
    <row r="205">
      <c r="A205" s="3" t="inlineStr">
        <is>
          <t>V204</t>
        </is>
      </c>
      <c r="B205" s="29" t="n">
        <v>46301</v>
      </c>
      <c r="C205" s="3" t="inlineStr">
        <is>
          <t>10:07</t>
        </is>
      </c>
      <c r="D205" s="3" t="inlineStr">
        <is>
          <t>2026-10</t>
        </is>
      </c>
      <c r="E205" s="3" t="n">
        <v>41</v>
      </c>
      <c r="F205" s="3" t="inlineStr">
        <is>
          <t>martes</t>
        </is>
      </c>
      <c r="G205" s="3" t="n">
        <v>1</v>
      </c>
      <c r="H205" s="3" t="n">
        <v>10</v>
      </c>
      <c r="I205" s="3" t="inlineStr">
        <is>
          <t>10:00-10:59</t>
        </is>
      </c>
      <c r="J205" s="3" t="inlineStr">
        <is>
          <t>VTC</t>
        </is>
      </c>
      <c r="K205" s="28" t="n">
        <v>11.19</v>
      </c>
      <c r="L205" s="3" t="inlineStr">
        <is>
          <t>app</t>
        </is>
      </c>
      <c r="M205" s="3" t="b">
        <v>0</v>
      </c>
      <c r="N205" s="3" t="b">
        <v>0</v>
      </c>
      <c r="O205" s="3" t="b">
        <v>0</v>
      </c>
      <c r="P205" s="3" t="b">
        <v>1</v>
      </c>
      <c r="Q205" s="3">
        <f>IF(COUNTIF($B$2:B205,B205)=1,1,0)</f>
        <v/>
      </c>
    </row>
    <row r="206">
      <c r="A206" s="3" t="inlineStr">
        <is>
          <t>V205</t>
        </is>
      </c>
      <c r="B206" s="29" t="n">
        <v>46301</v>
      </c>
      <c r="C206" s="3" t="inlineStr">
        <is>
          <t>11:02</t>
        </is>
      </c>
      <c r="D206" s="3" t="inlineStr">
        <is>
          <t>2026-10</t>
        </is>
      </c>
      <c r="E206" s="3" t="n">
        <v>41</v>
      </c>
      <c r="F206" s="3" t="inlineStr">
        <is>
          <t>martes</t>
        </is>
      </c>
      <c r="G206" s="3" t="n">
        <v>1</v>
      </c>
      <c r="H206" s="3" t="n">
        <v>11</v>
      </c>
      <c r="I206" s="3" t="inlineStr">
        <is>
          <t>11:00-11:59</t>
        </is>
      </c>
      <c r="J206" s="3" t="inlineStr">
        <is>
          <t>VTC</t>
        </is>
      </c>
      <c r="K206" s="28" t="n">
        <v>6.7</v>
      </c>
      <c r="L206" s="3" t="inlineStr">
        <is>
          <t>app</t>
        </is>
      </c>
      <c r="M206" s="3" t="b">
        <v>0</v>
      </c>
      <c r="N206" s="3" t="b">
        <v>0</v>
      </c>
      <c r="O206" s="3" t="b">
        <v>0</v>
      </c>
      <c r="P206" s="3" t="b">
        <v>1</v>
      </c>
      <c r="Q206" s="3">
        <f>IF(COUNTIF($B$2:B206,B206)=1,1,0)</f>
        <v/>
      </c>
    </row>
    <row r="207">
      <c r="A207" s="3" t="inlineStr">
        <is>
          <t>V206</t>
        </is>
      </c>
      <c r="B207" s="29" t="n">
        <v>46302</v>
      </c>
      <c r="C207" s="3" t="inlineStr">
        <is>
          <t>06:31</t>
        </is>
      </c>
      <c r="D207" s="3" t="inlineStr">
        <is>
          <t>2026-10</t>
        </is>
      </c>
      <c r="E207" s="3" t="n">
        <v>41</v>
      </c>
      <c r="F207" s="3" t="inlineStr">
        <is>
          <t>miércoles</t>
        </is>
      </c>
      <c r="G207" s="3" t="n">
        <v>2</v>
      </c>
      <c r="H207" s="3" t="n">
        <v>6</v>
      </c>
      <c r="I207" s="3" t="inlineStr">
        <is>
          <t>06:00-06:59</t>
        </is>
      </c>
      <c r="J207" s="3" t="inlineStr">
        <is>
          <t>VTC Airport</t>
        </is>
      </c>
      <c r="K207" s="28" t="n">
        <v>0</v>
      </c>
      <c r="L207" s="3" t="inlineStr">
        <is>
          <t>app</t>
        </is>
      </c>
      <c r="M207" s="3" t="b">
        <v>1</v>
      </c>
      <c r="N207" s="3" t="b">
        <v>0</v>
      </c>
      <c r="O207" s="3" t="b">
        <v>1</v>
      </c>
      <c r="P207" s="3" t="b">
        <v>1</v>
      </c>
      <c r="Q207" s="3">
        <f>IF(COUNTIF($B$2:B207,B207)=1,1,0)</f>
        <v/>
      </c>
    </row>
    <row r="208">
      <c r="A208" s="3" t="inlineStr">
        <is>
          <t>V207</t>
        </is>
      </c>
      <c r="B208" s="29" t="n">
        <v>46302</v>
      </c>
      <c r="C208" s="3" t="inlineStr">
        <is>
          <t>06:43</t>
        </is>
      </c>
      <c r="D208" s="3" t="inlineStr">
        <is>
          <t>2026-10</t>
        </is>
      </c>
      <c r="E208" s="3" t="n">
        <v>41</v>
      </c>
      <c r="F208" s="3" t="inlineStr">
        <is>
          <t>miércoles</t>
        </is>
      </c>
      <c r="G208" s="3" t="n">
        <v>2</v>
      </c>
      <c r="H208" s="3" t="n">
        <v>6</v>
      </c>
      <c r="I208" s="3" t="inlineStr">
        <is>
          <t>06:00-06:59</t>
        </is>
      </c>
      <c r="J208" s="3" t="inlineStr">
        <is>
          <t>VTC</t>
        </is>
      </c>
      <c r="K208" s="28" t="n">
        <v>6</v>
      </c>
      <c r="L208" s="3" t="inlineStr">
        <is>
          <t>app</t>
        </is>
      </c>
      <c r="M208" s="3" t="b">
        <v>0</v>
      </c>
      <c r="N208" s="3" t="b">
        <v>1</v>
      </c>
      <c r="O208" s="3" t="b">
        <v>0</v>
      </c>
      <c r="P208" s="3" t="b">
        <v>1</v>
      </c>
      <c r="Q208" s="3">
        <f>IF(COUNTIF($B$2:B208,B208)=1,1,0)</f>
        <v/>
      </c>
    </row>
    <row r="209">
      <c r="A209" s="3" t="inlineStr">
        <is>
          <t>V208</t>
        </is>
      </c>
      <c r="B209" s="29" t="n">
        <v>46302</v>
      </c>
      <c r="C209" s="3" t="inlineStr">
        <is>
          <t>06:56</t>
        </is>
      </c>
      <c r="D209" s="3" t="inlineStr">
        <is>
          <t>2026-10</t>
        </is>
      </c>
      <c r="E209" s="3" t="n">
        <v>41</v>
      </c>
      <c r="F209" s="3" t="inlineStr">
        <is>
          <t>miércoles</t>
        </is>
      </c>
      <c r="G209" s="3" t="n">
        <v>2</v>
      </c>
      <c r="H209" s="3" t="n">
        <v>6</v>
      </c>
      <c r="I209" s="3" t="inlineStr">
        <is>
          <t>06:00-06:59</t>
        </is>
      </c>
      <c r="J209" s="3" t="inlineStr">
        <is>
          <t>VTC Airport</t>
        </is>
      </c>
      <c r="K209" s="28" t="n">
        <v>8.73</v>
      </c>
      <c r="L209" s="3" t="inlineStr">
        <is>
          <t>app</t>
        </is>
      </c>
      <c r="M209" s="3" t="b">
        <v>0</v>
      </c>
      <c r="N209" s="3" t="b">
        <v>0</v>
      </c>
      <c r="O209" s="3" t="b">
        <v>1</v>
      </c>
      <c r="P209" s="3" t="b">
        <v>1</v>
      </c>
      <c r="Q209" s="3">
        <f>IF(COUNTIF($B$2:B209,B209)=1,1,0)</f>
        <v/>
      </c>
    </row>
    <row r="210">
      <c r="A210" s="3" t="inlineStr">
        <is>
          <t>V209</t>
        </is>
      </c>
      <c r="B210" s="29" t="n">
        <v>46302</v>
      </c>
      <c r="C210" s="3" t="inlineStr">
        <is>
          <t>07:49</t>
        </is>
      </c>
      <c r="D210" s="3" t="inlineStr">
        <is>
          <t>2026-10</t>
        </is>
      </c>
      <c r="E210" s="3" t="n">
        <v>41</v>
      </c>
      <c r="F210" s="3" t="inlineStr">
        <is>
          <t>miércoles</t>
        </is>
      </c>
      <c r="G210" s="3" t="n">
        <v>2</v>
      </c>
      <c r="H210" s="3" t="n">
        <v>7</v>
      </c>
      <c r="I210" s="3" t="inlineStr">
        <is>
          <t>07:00-07:59</t>
        </is>
      </c>
      <c r="J210" s="3" t="inlineStr">
        <is>
          <t>VTC Eco</t>
        </is>
      </c>
      <c r="K210" s="28" t="n">
        <v>18.46</v>
      </c>
      <c r="L210" s="3" t="inlineStr">
        <is>
          <t>app</t>
        </is>
      </c>
      <c r="M210" s="3" t="b">
        <v>0</v>
      </c>
      <c r="N210" s="3" t="b">
        <v>0</v>
      </c>
      <c r="O210" s="3" t="b">
        <v>0</v>
      </c>
      <c r="P210" s="3" t="b">
        <v>1</v>
      </c>
      <c r="Q210" s="3">
        <f>IF(COUNTIF($B$2:B210,B210)=1,1,0)</f>
        <v/>
      </c>
    </row>
    <row r="211">
      <c r="A211" s="3" t="inlineStr">
        <is>
          <t>V210</t>
        </is>
      </c>
      <c r="B211" s="29" t="n">
        <v>46302</v>
      </c>
      <c r="C211" s="3" t="inlineStr">
        <is>
          <t>08:46</t>
        </is>
      </c>
      <c r="D211" s="3" t="inlineStr">
        <is>
          <t>2026-10</t>
        </is>
      </c>
      <c r="E211" s="3" t="n">
        <v>41</v>
      </c>
      <c r="F211" s="3" t="inlineStr">
        <is>
          <t>miércoles</t>
        </is>
      </c>
      <c r="G211" s="3" t="n">
        <v>2</v>
      </c>
      <c r="H211" s="3" t="n">
        <v>8</v>
      </c>
      <c r="I211" s="3" t="inlineStr">
        <is>
          <t>08:00-08:59</t>
        </is>
      </c>
      <c r="J211" s="3" t="inlineStr">
        <is>
          <t>VTC Airport</t>
        </is>
      </c>
      <c r="K211" s="28" t="n">
        <v>33.85</v>
      </c>
      <c r="L211" s="3" t="inlineStr">
        <is>
          <t>app</t>
        </is>
      </c>
      <c r="M211" s="3" t="b">
        <v>0</v>
      </c>
      <c r="N211" s="3" t="b">
        <v>0</v>
      </c>
      <c r="O211" s="3" t="b">
        <v>1</v>
      </c>
      <c r="P211" s="3" t="b">
        <v>1</v>
      </c>
      <c r="Q211" s="3">
        <f>IF(COUNTIF($B$2:B211,B211)=1,1,0)</f>
        <v/>
      </c>
    </row>
    <row r="212">
      <c r="A212" s="3" t="inlineStr">
        <is>
          <t>V211</t>
        </is>
      </c>
      <c r="B212" s="29" t="n">
        <v>46302</v>
      </c>
      <c r="C212" s="3" t="inlineStr">
        <is>
          <t>09:48</t>
        </is>
      </c>
      <c r="D212" s="3" t="inlineStr">
        <is>
          <t>2026-10</t>
        </is>
      </c>
      <c r="E212" s="3" t="n">
        <v>41</v>
      </c>
      <c r="F212" s="3" t="inlineStr">
        <is>
          <t>miércoles</t>
        </is>
      </c>
      <c r="G212" s="3" t="n">
        <v>2</v>
      </c>
      <c r="H212" s="3" t="n">
        <v>9</v>
      </c>
      <c r="I212" s="3" t="inlineStr">
        <is>
          <t>09:00-09:59</t>
        </is>
      </c>
      <c r="J212" s="3" t="inlineStr">
        <is>
          <t>VTC Eco</t>
        </is>
      </c>
      <c r="K212" s="28" t="n">
        <v>14.25</v>
      </c>
      <c r="L212" s="3" t="inlineStr">
        <is>
          <t>app</t>
        </is>
      </c>
      <c r="M212" s="3" t="b">
        <v>0</v>
      </c>
      <c r="N212" s="3" t="b">
        <v>0</v>
      </c>
      <c r="O212" s="3" t="b">
        <v>0</v>
      </c>
      <c r="P212" s="3" t="b">
        <v>1</v>
      </c>
      <c r="Q212" s="3">
        <f>IF(COUNTIF($B$2:B212,B212)=1,1,0)</f>
        <v/>
      </c>
    </row>
    <row r="213">
      <c r="A213" s="3" t="inlineStr">
        <is>
          <t>V212</t>
        </is>
      </c>
      <c r="B213" s="29" t="n">
        <v>46302</v>
      </c>
      <c r="C213" s="3" t="inlineStr">
        <is>
          <t>10:37</t>
        </is>
      </c>
      <c r="D213" s="3" t="inlineStr">
        <is>
          <t>2026-10</t>
        </is>
      </c>
      <c r="E213" s="3" t="n">
        <v>41</v>
      </c>
      <c r="F213" s="3" t="inlineStr">
        <is>
          <t>miércoles</t>
        </is>
      </c>
      <c r="G213" s="3" t="n">
        <v>2</v>
      </c>
      <c r="H213" s="3" t="n">
        <v>10</v>
      </c>
      <c r="I213" s="3" t="inlineStr">
        <is>
          <t>10:00-10:59</t>
        </is>
      </c>
      <c r="J213" s="3" t="inlineStr">
        <is>
          <t>VTC</t>
        </is>
      </c>
      <c r="K213" s="28" t="n">
        <v>23.37</v>
      </c>
      <c r="L213" s="3" t="inlineStr">
        <is>
          <t>app</t>
        </is>
      </c>
      <c r="M213" s="3" t="b">
        <v>0</v>
      </c>
      <c r="N213" s="3" t="b">
        <v>0</v>
      </c>
      <c r="O213" s="3" t="b">
        <v>0</v>
      </c>
      <c r="P213" s="3" t="b">
        <v>1</v>
      </c>
      <c r="Q213" s="3">
        <f>IF(COUNTIF($B$2:B213,B213)=1,1,0)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25" t="inlineStr">
        <is>
          <t>fecha</t>
        </is>
      </c>
      <c r="B1" s="25" t="inlineStr">
        <is>
          <t>dia_semana</t>
        </is>
      </c>
      <c r="C1" s="25" t="inlineStr">
        <is>
          <t>inicio</t>
        </is>
      </c>
      <c r="D1" s="25" t="inlineStr">
        <is>
          <t>fin</t>
        </is>
      </c>
      <c r="E1" s="25" t="inlineStr">
        <is>
          <t>conduccion_efectiva_min</t>
        </is>
      </c>
      <c r="F1" s="25" t="inlineStr">
        <is>
          <t>recarga_electrica_min</t>
        </is>
      </c>
      <c r="G1" s="25" t="inlineStr">
        <is>
          <t>cuidado_vehiculo_min</t>
        </is>
      </c>
      <c r="H1" s="25" t="inlineStr">
        <is>
          <t>conduccion_no_efectiva_min</t>
        </is>
      </c>
      <c r="I1" s="25" t="inlineStr">
        <is>
          <t>sin_clasificar_min</t>
        </is>
      </c>
      <c r="J1" s="25" t="inlineStr">
        <is>
          <t>tiempo_efectivo_min</t>
        </is>
      </c>
      <c r="K1" s="25" t="inlineStr">
        <is>
          <t>tiempo_total_app_min</t>
        </is>
      </c>
      <c r="L1" s="25" t="inlineStr">
        <is>
          <t>jornada_anomala</t>
        </is>
      </c>
      <c r="M1" s="25" t="inlineStr">
        <is>
          <t>ingresos_eur</t>
        </is>
      </c>
      <c r="N1" s="25" t="inlineStr">
        <is>
          <t>horas_totales</t>
        </is>
      </c>
      <c r="O1" s="25" t="inlineStr">
        <is>
          <t>eur_por_hora_total</t>
        </is>
      </c>
      <c r="P1" s="25" t="inlineStr">
        <is>
          <t>eur_por_hora_efectiva</t>
        </is>
      </c>
    </row>
    <row r="2">
      <c r="A2" s="29" t="n">
        <v>46293</v>
      </c>
      <c r="B2" s="3" t="inlineStr">
        <is>
          <t>lunes</t>
        </is>
      </c>
      <c r="C2" s="3" t="inlineStr">
        <is>
          <t>06:15</t>
        </is>
      </c>
      <c r="D2" s="3" t="inlineStr">
        <is>
          <t>12:26</t>
        </is>
      </c>
      <c r="E2" s="3" t="n">
        <v>314</v>
      </c>
      <c r="F2" s="3" t="n">
        <v>43</v>
      </c>
      <c r="G2" s="3" t="n">
        <v>10</v>
      </c>
      <c r="H2" s="3" t="n">
        <v>11</v>
      </c>
      <c r="I2" s="3" t="n">
        <v>46</v>
      </c>
      <c r="J2" s="3" t="n">
        <v>367</v>
      </c>
      <c r="K2" s="3" t="n">
        <v>424</v>
      </c>
      <c r="L2" s="3" t="b">
        <v>0</v>
      </c>
      <c r="M2" s="28">
        <f>SUMIFS(Viajes!$K$2:$K$213,Viajes!$B$2:$B$213,A2)</f>
        <v/>
      </c>
      <c r="N2" s="30">
        <f>K2/60</f>
        <v/>
      </c>
      <c r="O2" s="28">
        <f>M2/N2</f>
        <v/>
      </c>
      <c r="P2" s="28">
        <f>M2/(J2/60)</f>
        <v/>
      </c>
    </row>
    <row r="3">
      <c r="A3" s="29" t="n">
        <v>46294</v>
      </c>
      <c r="B3" s="3" t="inlineStr">
        <is>
          <t>martes</t>
        </is>
      </c>
      <c r="C3" s="3" t="inlineStr">
        <is>
          <t>06:11</t>
        </is>
      </c>
      <c r="D3" s="3" t="inlineStr">
        <is>
          <t>12:17</t>
        </is>
      </c>
      <c r="E3" s="3" t="n">
        <v>320</v>
      </c>
      <c r="F3" s="3" t="n">
        <v>33</v>
      </c>
      <c r="G3" s="3" t="n">
        <v>10</v>
      </c>
      <c r="H3" s="3" t="n">
        <v>4</v>
      </c>
      <c r="I3" s="3" t="n">
        <v>42</v>
      </c>
      <c r="J3" s="3" t="n">
        <v>363</v>
      </c>
      <c r="K3" s="3" t="n">
        <v>409</v>
      </c>
      <c r="L3" s="3" t="b">
        <v>0</v>
      </c>
      <c r="M3" s="28">
        <f>SUMIFS(Viajes!$K$2:$K$213,Viajes!$B$2:$B$213,A3)</f>
        <v/>
      </c>
      <c r="N3" s="30">
        <f>K3/60</f>
        <v/>
      </c>
      <c r="O3" s="28">
        <f>M3/N3</f>
        <v/>
      </c>
      <c r="P3" s="28">
        <f>M3/(J3/60)</f>
        <v/>
      </c>
    </row>
    <row r="4">
      <c r="A4" s="29" t="n">
        <v>46295</v>
      </c>
      <c r="B4" s="3" t="inlineStr">
        <is>
          <t>miércoles</t>
        </is>
      </c>
      <c r="C4" s="3" t="inlineStr">
        <is>
          <t>06:17</t>
        </is>
      </c>
      <c r="D4" s="3" t="inlineStr">
        <is>
          <t>12:45</t>
        </is>
      </c>
      <c r="E4" s="3" t="n">
        <v>351</v>
      </c>
      <c r="F4" s="3" t="n">
        <v>25</v>
      </c>
      <c r="G4" s="3" t="n">
        <v>10</v>
      </c>
      <c r="H4" s="3" t="n">
        <v>6</v>
      </c>
      <c r="I4" s="3" t="n">
        <v>31</v>
      </c>
      <c r="J4" s="3" t="n">
        <v>386</v>
      </c>
      <c r="K4" s="3" t="n">
        <v>422</v>
      </c>
      <c r="L4" s="3" t="b">
        <v>0</v>
      </c>
      <c r="M4" s="28">
        <f>SUMIFS(Viajes!$K$2:$K$213,Viajes!$B$2:$B$213,A4)</f>
        <v/>
      </c>
      <c r="N4" s="30">
        <f>K4/60</f>
        <v/>
      </c>
      <c r="O4" s="28">
        <f>M4/N4</f>
        <v/>
      </c>
      <c r="P4" s="28">
        <f>M4/(J4/60)</f>
        <v/>
      </c>
    </row>
    <row r="5">
      <c r="A5" s="29" t="n">
        <v>46296</v>
      </c>
      <c r="B5" s="3" t="inlineStr">
        <is>
          <t>jueves</t>
        </is>
      </c>
      <c r="C5" s="3" t="inlineStr">
        <is>
          <t>06:23</t>
        </is>
      </c>
      <c r="D5" s="3" t="inlineStr">
        <is>
          <t>12:22</t>
        </is>
      </c>
      <c r="E5" s="3" t="n">
        <v>313</v>
      </c>
      <c r="F5" s="3" t="n">
        <v>10</v>
      </c>
      <c r="G5" s="3" t="n">
        <v>10</v>
      </c>
      <c r="H5" s="3" t="n">
        <v>3</v>
      </c>
      <c r="I5" s="3" t="n">
        <v>43</v>
      </c>
      <c r="J5" s="3" t="n">
        <v>333</v>
      </c>
      <c r="K5" s="3" t="n">
        <v>378</v>
      </c>
      <c r="L5" s="3" t="b">
        <v>0</v>
      </c>
      <c r="M5" s="28">
        <f>SUMIFS(Viajes!$K$2:$K$213,Viajes!$B$2:$B$213,A5)</f>
        <v/>
      </c>
      <c r="N5" s="30">
        <f>K5/60</f>
        <v/>
      </c>
      <c r="O5" s="28">
        <f>M5/N5</f>
        <v/>
      </c>
      <c r="P5" s="28">
        <f>M5/(J5/60)</f>
        <v/>
      </c>
    </row>
    <row r="6">
      <c r="A6" s="29" t="n">
        <v>46297</v>
      </c>
      <c r="B6" s="3" t="inlineStr">
        <is>
          <t>viernes</t>
        </is>
      </c>
      <c r="C6" s="3" t="inlineStr">
        <is>
          <t>06:30</t>
        </is>
      </c>
      <c r="D6" s="3" t="inlineStr">
        <is>
          <t>18:06</t>
        </is>
      </c>
      <c r="E6" s="3" t="n">
        <v>302</v>
      </c>
      <c r="F6" s="3" t="n">
        <v>37</v>
      </c>
      <c r="G6" s="3" t="n">
        <v>10</v>
      </c>
      <c r="H6" s="3" t="n">
        <v>5</v>
      </c>
      <c r="I6" s="3" t="n">
        <v>389</v>
      </c>
      <c r="J6" s="3" t="n">
        <v>349</v>
      </c>
      <c r="K6" s="3" t="n">
        <v>742</v>
      </c>
      <c r="L6" s="3" t="b">
        <v>1</v>
      </c>
      <c r="M6" s="28">
        <f>SUMIFS(Viajes!$K$2:$K$213,Viajes!$B$2:$B$213,A6)</f>
        <v/>
      </c>
      <c r="N6" s="30">
        <f>K6/60</f>
        <v/>
      </c>
      <c r="O6" s="28">
        <f>M6/N6</f>
        <v/>
      </c>
      <c r="P6" s="28">
        <f>M6/(J6/60)</f>
        <v/>
      </c>
    </row>
    <row r="7">
      <c r="A7" s="29" t="n">
        <v>46300</v>
      </c>
      <c r="B7" s="3" t="inlineStr">
        <is>
          <t>lunes</t>
        </is>
      </c>
      <c r="C7" s="3" t="inlineStr">
        <is>
          <t>06:20</t>
        </is>
      </c>
      <c r="D7" s="3" t="inlineStr">
        <is>
          <t>13:02</t>
        </is>
      </c>
      <c r="E7" s="3" t="n">
        <v>312</v>
      </c>
      <c r="F7" s="3" t="n">
        <v>36</v>
      </c>
      <c r="G7" s="3" t="n">
        <v>10</v>
      </c>
      <c r="H7" s="3" t="n">
        <v>25</v>
      </c>
      <c r="I7" s="3" t="n">
        <v>65</v>
      </c>
      <c r="J7" s="3" t="n">
        <v>358</v>
      </c>
      <c r="K7" s="3" t="n">
        <v>447</v>
      </c>
      <c r="L7" s="3" t="b">
        <v>0</v>
      </c>
      <c r="M7" s="28">
        <f>SUMIFS(Viajes!$K$2:$K$213,Viajes!$B$2:$B$213,A7)</f>
        <v/>
      </c>
      <c r="N7" s="30">
        <f>K7/60</f>
        <v/>
      </c>
      <c r="O7" s="28">
        <f>M7/N7</f>
        <v/>
      </c>
      <c r="P7" s="28">
        <f>M7/(J7/60)</f>
        <v/>
      </c>
    </row>
    <row r="8">
      <c r="A8" s="29" t="n">
        <v>46301</v>
      </c>
      <c r="B8" s="3" t="inlineStr">
        <is>
          <t>martes</t>
        </is>
      </c>
      <c r="C8" s="3" t="inlineStr">
        <is>
          <t>06:22</t>
        </is>
      </c>
      <c r="D8" s="3" t="inlineStr">
        <is>
          <t>13:04</t>
        </is>
      </c>
      <c r="E8" s="3" t="n">
        <v>295</v>
      </c>
      <c r="F8" s="3" t="n">
        <v>55</v>
      </c>
      <c r="G8" s="3" t="n">
        <v>10</v>
      </c>
      <c r="H8" s="3" t="n">
        <v>0</v>
      </c>
      <c r="I8" s="3" t="n">
        <v>107</v>
      </c>
      <c r="J8" s="3" t="n">
        <v>360</v>
      </c>
      <c r="K8" s="3" t="n">
        <v>466</v>
      </c>
      <c r="L8" s="3" t="b">
        <v>0</v>
      </c>
      <c r="M8" s="28">
        <f>SUMIFS(Viajes!$K$2:$K$213,Viajes!$B$2:$B$213,A8)</f>
        <v/>
      </c>
      <c r="N8" s="30">
        <f>K8/60</f>
        <v/>
      </c>
      <c r="O8" s="28">
        <f>M8/N8</f>
        <v/>
      </c>
      <c r="P8" s="28">
        <f>M8/(J8/60)</f>
        <v/>
      </c>
    </row>
    <row r="9">
      <c r="A9" s="29" t="n">
        <v>46302</v>
      </c>
      <c r="B9" s="3" t="inlineStr">
        <is>
          <t>miércoles</t>
        </is>
      </c>
      <c r="C9" s="3" t="inlineStr">
        <is>
          <t>06:21</t>
        </is>
      </c>
      <c r="D9" s="3" t="inlineStr">
        <is>
          <t>12:28</t>
        </is>
      </c>
      <c r="E9" s="3" t="n">
        <v>306</v>
      </c>
      <c r="F9" s="3" t="n">
        <v>45</v>
      </c>
      <c r="G9" s="3" t="n">
        <v>10</v>
      </c>
      <c r="H9" s="3" t="n">
        <v>0</v>
      </c>
      <c r="I9" s="3" t="n">
        <v>61</v>
      </c>
      <c r="J9" s="3" t="n">
        <v>361</v>
      </c>
      <c r="K9" s="3" t="n">
        <v>422</v>
      </c>
      <c r="L9" s="3" t="b">
        <v>0</v>
      </c>
      <c r="M9" s="28">
        <f>SUMIFS(Viajes!$K$2:$K$213,Viajes!$B$2:$B$213,A9)</f>
        <v/>
      </c>
      <c r="N9" s="30">
        <f>K9/60</f>
        <v/>
      </c>
      <c r="O9" s="28">
        <f>M9/N9</f>
        <v/>
      </c>
      <c r="P9" s="28">
        <f>M9/(J9/60)</f>
        <v/>
      </c>
    </row>
    <row r="11">
      <c r="A11" s="5" t="inlineStr">
        <is>
          <t>Fuente: app de la flota («Detalle de jornada»). Columnas M–P son fórmulas. jornada_anomala = VERDADERO el 02/10 (probable jornada no cerrada).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2026-10-09T16:10:42Z</dcterms:created>
  <dcterms:modified xsi:type="dcterms:W3CDTF">2026-10-09T16:10:43Z</dcterms:modified>
</cp:coreProperties>
</file>